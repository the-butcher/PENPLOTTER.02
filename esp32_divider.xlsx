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privat\penplotter_04\"/>
    </mc:Choice>
  </mc:AlternateContent>
  <xr:revisionPtr revIDLastSave="0" documentId="13_ncr:1_{22C8B011-4F25-49AA-8BFD-55134FE5E5E4}" xr6:coauthVersionLast="47" xr6:coauthVersionMax="47" xr10:uidLastSave="{00000000-0000-0000-0000-000000000000}"/>
  <bookViews>
    <workbookView xWindow="30570" yWindow="720" windowWidth="26670" windowHeight="1446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" i="1" l="1"/>
  <c r="P11" i="1"/>
  <c r="Q11" i="1" s="1"/>
  <c r="R6" i="1"/>
  <c r="L37" i="1"/>
  <c r="M37" i="1" s="1"/>
  <c r="K3" i="1"/>
  <c r="G10" i="1"/>
  <c r="J10" i="1" s="1"/>
  <c r="D10" i="1"/>
  <c r="G11" i="1"/>
  <c r="J11" i="1" s="1"/>
  <c r="D11" i="1"/>
  <c r="G12" i="1"/>
  <c r="J12" i="1" s="1"/>
  <c r="D12" i="1"/>
  <c r="G13" i="1"/>
  <c r="J13" i="1" s="1"/>
  <c r="D13" i="1"/>
  <c r="G14" i="1"/>
  <c r="J14" i="1" s="1"/>
  <c r="D14" i="1"/>
  <c r="G15" i="1"/>
  <c r="J15" i="1" s="1"/>
  <c r="D15" i="1"/>
  <c r="G16" i="1"/>
  <c r="J16" i="1" s="1"/>
  <c r="D16" i="1"/>
  <c r="G17" i="1"/>
  <c r="J17" i="1" s="1"/>
  <c r="D17" i="1"/>
  <c r="G33" i="1"/>
  <c r="J33" i="1" s="1"/>
  <c r="D33" i="1"/>
  <c r="G32" i="1"/>
  <c r="J32" i="1" s="1"/>
  <c r="D32" i="1"/>
  <c r="G31" i="1"/>
  <c r="J31" i="1" s="1"/>
  <c r="D31" i="1"/>
  <c r="G30" i="1"/>
  <c r="J30" i="1" s="1"/>
  <c r="D30" i="1"/>
  <c r="G29" i="1"/>
  <c r="J29" i="1" s="1"/>
  <c r="D29" i="1"/>
  <c r="G28" i="1"/>
  <c r="J28" i="1" s="1"/>
  <c r="D28" i="1"/>
  <c r="G27" i="1"/>
  <c r="J27" i="1" s="1"/>
  <c r="D27" i="1"/>
  <c r="G26" i="1"/>
  <c r="J26" i="1" s="1"/>
  <c r="D26" i="1"/>
  <c r="G25" i="1"/>
  <c r="J25" i="1" s="1"/>
  <c r="D25" i="1"/>
  <c r="G24" i="1"/>
  <c r="J24" i="1" s="1"/>
  <c r="D24" i="1"/>
  <c r="J38" i="1"/>
  <c r="K38" i="1" s="1"/>
  <c r="L38" i="1" s="1"/>
  <c r="M38" i="1" s="1"/>
  <c r="J39" i="1"/>
  <c r="K39" i="1" s="1"/>
  <c r="L39" i="1" s="1"/>
  <c r="M39" i="1" s="1"/>
  <c r="J40" i="1"/>
  <c r="K40" i="1" s="1"/>
  <c r="L40" i="1" s="1"/>
  <c r="M40" i="1" s="1"/>
  <c r="J41" i="1"/>
  <c r="K41" i="1" s="1"/>
  <c r="L41" i="1" s="1"/>
  <c r="M41" i="1" s="1"/>
  <c r="J42" i="1"/>
  <c r="K42" i="1" s="1"/>
  <c r="L42" i="1" s="1"/>
  <c r="M42" i="1" s="1"/>
  <c r="J37" i="1"/>
  <c r="K37" i="1" s="1"/>
  <c r="D19" i="1"/>
  <c r="D20" i="1"/>
  <c r="D21" i="1"/>
  <c r="D22" i="1"/>
  <c r="D23" i="1"/>
  <c r="D18" i="1"/>
  <c r="G23" i="1"/>
  <c r="J23" i="1" s="1"/>
  <c r="G22" i="1"/>
  <c r="J22" i="1" s="1"/>
  <c r="G21" i="1"/>
  <c r="J21" i="1" s="1"/>
  <c r="G20" i="1"/>
  <c r="J20" i="1" s="1"/>
  <c r="G19" i="1"/>
  <c r="J19" i="1" s="1"/>
  <c r="G18" i="1"/>
  <c r="J18" i="1" s="1"/>
  <c r="P12" i="1" l="1"/>
  <c r="R10" i="1"/>
  <c r="S10" i="1" s="1"/>
  <c r="R11" i="1"/>
  <c r="S11" i="1" s="1"/>
  <c r="K10" i="1"/>
  <c r="L10" i="1" s="1"/>
  <c r="M10" i="1" s="1"/>
  <c r="K11" i="1"/>
  <c r="L11" i="1" s="1"/>
  <c r="M11" i="1" s="1"/>
  <c r="K12" i="1"/>
  <c r="L12" i="1" s="1"/>
  <c r="M12" i="1" s="1"/>
  <c r="K13" i="1"/>
  <c r="L13" i="1" s="1"/>
  <c r="M13" i="1" s="1"/>
  <c r="K26" i="1"/>
  <c r="L26" i="1" s="1"/>
  <c r="M26" i="1" s="1"/>
  <c r="K14" i="1"/>
  <c r="L14" i="1" s="1"/>
  <c r="M14" i="1" s="1"/>
  <c r="K17" i="1"/>
  <c r="L17" i="1" s="1"/>
  <c r="M17" i="1" s="1"/>
  <c r="K15" i="1"/>
  <c r="L15" i="1" s="1"/>
  <c r="M15" i="1" s="1"/>
  <c r="K16" i="1"/>
  <c r="L16" i="1" s="1"/>
  <c r="M16" i="1" s="1"/>
  <c r="K25" i="1"/>
  <c r="L25" i="1" s="1"/>
  <c r="M25" i="1" s="1"/>
  <c r="K18" i="1"/>
  <c r="L18" i="1" s="1"/>
  <c r="M18" i="1" s="1"/>
  <c r="K32" i="1"/>
  <c r="L32" i="1" s="1"/>
  <c r="M32" i="1" s="1"/>
  <c r="K33" i="1"/>
  <c r="L33" i="1" s="1"/>
  <c r="M33" i="1" s="1"/>
  <c r="K31" i="1"/>
  <c r="L31" i="1" s="1"/>
  <c r="M31" i="1" s="1"/>
  <c r="K30" i="1"/>
  <c r="L30" i="1" s="1"/>
  <c r="M30" i="1" s="1"/>
  <c r="K29" i="1"/>
  <c r="L29" i="1" s="1"/>
  <c r="M29" i="1" s="1"/>
  <c r="K28" i="1"/>
  <c r="L28" i="1" s="1"/>
  <c r="M28" i="1" s="1"/>
  <c r="K27" i="1"/>
  <c r="L27" i="1" s="1"/>
  <c r="M27" i="1" s="1"/>
  <c r="K24" i="1"/>
  <c r="L24" i="1" s="1"/>
  <c r="M24" i="1" s="1"/>
  <c r="K22" i="1"/>
  <c r="L22" i="1" s="1"/>
  <c r="M22" i="1" s="1"/>
  <c r="K23" i="1"/>
  <c r="L23" i="1" s="1"/>
  <c r="M23" i="1" s="1"/>
  <c r="K21" i="1"/>
  <c r="L21" i="1" s="1"/>
  <c r="M21" i="1" s="1"/>
  <c r="K20" i="1"/>
  <c r="L20" i="1" s="1"/>
  <c r="M20" i="1" s="1"/>
  <c r="K19" i="1"/>
  <c r="L19" i="1" s="1"/>
  <c r="M19" i="1" s="1"/>
  <c r="P13" i="1" l="1"/>
  <c r="Q12" i="1"/>
  <c r="R12" i="1" s="1"/>
  <c r="S12" i="1" s="1"/>
  <c r="P14" i="1" l="1"/>
  <c r="Q13" i="1"/>
  <c r="R13" i="1" s="1"/>
  <c r="S13" i="1" s="1"/>
  <c r="P15" i="1" l="1"/>
  <c r="Q14" i="1"/>
  <c r="R14" i="1" s="1"/>
  <c r="S14" i="1" s="1"/>
  <c r="P16" i="1" l="1"/>
  <c r="Q15" i="1"/>
  <c r="R15" i="1" s="1"/>
  <c r="S15" i="1" s="1"/>
  <c r="P17" i="1" l="1"/>
  <c r="Q16" i="1"/>
  <c r="R16" i="1" s="1"/>
  <c r="S16" i="1" s="1"/>
  <c r="P18" i="1" l="1"/>
  <c r="Q17" i="1"/>
  <c r="R17" i="1" s="1"/>
  <c r="S17" i="1" s="1"/>
  <c r="P19" i="1" l="1"/>
  <c r="Q18" i="1"/>
  <c r="R18" i="1" s="1"/>
  <c r="S18" i="1" s="1"/>
  <c r="P20" i="1" l="1"/>
  <c r="Q20" i="1" s="1"/>
  <c r="R20" i="1" s="1"/>
  <c r="S20" i="1" s="1"/>
  <c r="Q19" i="1"/>
  <c r="R19" i="1" s="1"/>
  <c r="S19" i="1" s="1"/>
</calcChain>
</file>

<file path=xl/sharedStrings.xml><?xml version="1.0" encoding="utf-8"?>
<sst xmlns="http://schemas.openxmlformats.org/spreadsheetml/2006/main" count="27" uniqueCount="24">
  <si>
    <t>internal clock (mhz)</t>
  </si>
  <si>
    <t>divider</t>
  </si>
  <si>
    <t>resolution</t>
  </si>
  <si>
    <t>steps</t>
  </si>
  <si>
    <t>alarm</t>
  </si>
  <si>
    <t>mm/s</t>
  </si>
  <si>
    <t>deg/s</t>
  </si>
  <si>
    <t>max</t>
  </si>
  <si>
    <t>clock (hz)</t>
  </si>
  <si>
    <t>steps/360</t>
  </si>
  <si>
    <t>mm/step</t>
  </si>
  <si>
    <t>M0</t>
  </si>
  <si>
    <t>M1</t>
  </si>
  <si>
    <t>M2</t>
  </si>
  <si>
    <t>us/step</t>
  </si>
  <si>
    <t>step/mm</t>
  </si>
  <si>
    <t>step/420mm</t>
  </si>
  <si>
    <t>dPrim</t>
  </si>
  <si>
    <t>frqI</t>
  </si>
  <si>
    <t>frqO</t>
  </si>
  <si>
    <t>frqA2</t>
  </si>
  <si>
    <t>microsTotal</t>
  </si>
  <si>
    <t>frqII</t>
  </si>
  <si>
    <t>frq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</si>
</sst>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165" fontId="0" fillId="0" borderId="0" xfId="0" applyNumberFormat="1"/>
  </cellXfs>
  <cellStyles count="2">
    <cellStyle name="Komma" xfId="1" builtinId="3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Y42"/>
  <sheetViews>
    <sheetView tabSelected="1" topLeftCell="A16" workbookViewId="0">
      <selection activeCell="I24" sqref="I24"/>
    </sheetView>
  </sheetViews>
  <sheetFormatPr baseColWidth="10" defaultColWidth="9.140625" defaultRowHeight="15" x14ac:dyDescent="0.25"/>
  <cols>
    <col min="2" max="2" width="19.28515625" customWidth="1"/>
    <col min="4" max="4" width="11" bestFit="1" customWidth="1"/>
    <col min="5" max="5" width="3.85546875" customWidth="1"/>
    <col min="6" max="8" width="6.28515625" customWidth="1"/>
    <col min="9" max="9" width="10.140625" bestFit="1" customWidth="1"/>
    <col min="10" max="10" width="9.85546875" customWidth="1"/>
    <col min="11" max="11" width="9.42578125" customWidth="1"/>
    <col min="12" max="12" width="9.5703125" bestFit="1" customWidth="1"/>
    <col min="13" max="13" width="13.140625" customWidth="1"/>
    <col min="18" max="18" width="16.28515625" customWidth="1"/>
    <col min="20" max="20" width="11.28515625" bestFit="1" customWidth="1"/>
    <col min="22" max="22" width="34.42578125" customWidth="1"/>
    <col min="23" max="24" width="15" customWidth="1"/>
    <col min="25" max="25" width="29.28515625" customWidth="1"/>
    <col min="26" max="26" width="12.5703125" customWidth="1"/>
  </cols>
  <sheetData>
    <row r="2" spans="2:25" x14ac:dyDescent="0.25">
      <c r="J2" t="s">
        <v>7</v>
      </c>
      <c r="K2" t="s">
        <v>14</v>
      </c>
      <c r="Q2" t="s">
        <v>17</v>
      </c>
      <c r="R2" t="s">
        <v>18</v>
      </c>
      <c r="S2" t="s">
        <v>19</v>
      </c>
      <c r="T2" t="s">
        <v>21</v>
      </c>
    </row>
    <row r="3" spans="2:25" x14ac:dyDescent="0.25">
      <c r="J3">
        <v>5000</v>
      </c>
      <c r="K3">
        <f>1000000/J3</f>
        <v>200</v>
      </c>
      <c r="Q3">
        <v>114720</v>
      </c>
      <c r="R3">
        <v>1114.95</v>
      </c>
      <c r="S3">
        <v>4459.8</v>
      </c>
      <c r="T3">
        <v>41157040</v>
      </c>
    </row>
    <row r="5" spans="2:25" x14ac:dyDescent="0.25">
      <c r="Q5" t="s">
        <v>20</v>
      </c>
      <c r="R5" t="s">
        <v>22</v>
      </c>
    </row>
    <row r="6" spans="2:25" x14ac:dyDescent="0.25">
      <c r="Q6">
        <f>(S3-R3)*2000000 / T3</f>
        <v>162.54084355920642</v>
      </c>
      <c r="R6">
        <f>R3*R3</f>
        <v>1243113.5025000002</v>
      </c>
    </row>
    <row r="7" spans="2:25" x14ac:dyDescent="0.25">
      <c r="B7" t="s">
        <v>0</v>
      </c>
      <c r="C7" t="s">
        <v>1</v>
      </c>
      <c r="D7" t="s">
        <v>8</v>
      </c>
      <c r="F7" t="s">
        <v>5</v>
      </c>
      <c r="G7" t="s">
        <v>6</v>
      </c>
      <c r="I7" t="s">
        <v>2</v>
      </c>
      <c r="J7" t="s">
        <v>3</v>
      </c>
      <c r="K7" t="s">
        <v>4</v>
      </c>
      <c r="L7" t="s">
        <v>3</v>
      </c>
    </row>
    <row r="9" spans="2:25" x14ac:dyDescent="0.25">
      <c r="R9" t="s">
        <v>23</v>
      </c>
      <c r="S9" t="s">
        <v>4</v>
      </c>
    </row>
    <row r="10" spans="2:25" x14ac:dyDescent="0.25">
      <c r="B10">
        <v>80</v>
      </c>
      <c r="C10">
        <v>8</v>
      </c>
      <c r="D10">
        <f t="shared" ref="D10:D18" si="0">B10*1000000/C10</f>
        <v>10000000</v>
      </c>
      <c r="F10">
        <v>0.01</v>
      </c>
      <c r="G10">
        <f t="shared" ref="G10" si="1">(F10/40)*360</f>
        <v>0.09</v>
      </c>
      <c r="I10">
        <v>32</v>
      </c>
      <c r="J10">
        <f t="shared" ref="J10" si="2">G10*I10*400/360</f>
        <v>3.2</v>
      </c>
      <c r="K10">
        <f t="shared" ref="K10:K18" si="3">ROUND(D10/J10,0)</f>
        <v>3125000</v>
      </c>
      <c r="L10" s="1">
        <f t="shared" ref="L10:L18" si="4">D10/K10</f>
        <v>3.2</v>
      </c>
      <c r="M10" s="1">
        <f t="shared" ref="M10:M18" si="5">J10-L10</f>
        <v>0</v>
      </c>
      <c r="P10">
        <v>0</v>
      </c>
      <c r="Q10">
        <v>0</v>
      </c>
      <c r="R10">
        <f>SQRT($Q$6 * Q10 + $R$6)</f>
        <v>1114.95</v>
      </c>
      <c r="S10">
        <f>10000000/R10</f>
        <v>8969.0120633212246</v>
      </c>
      <c r="Y10" s="2"/>
    </row>
    <row r="11" spans="2:25" x14ac:dyDescent="0.25">
      <c r="B11">
        <v>80</v>
      </c>
      <c r="C11">
        <v>8</v>
      </c>
      <c r="D11">
        <f t="shared" si="0"/>
        <v>10000000</v>
      </c>
      <c r="F11">
        <v>0.05</v>
      </c>
      <c r="G11">
        <f t="shared" ref="G11" si="6">(F11/40)*360</f>
        <v>0.45</v>
      </c>
      <c r="I11">
        <v>32</v>
      </c>
      <c r="J11">
        <f t="shared" ref="J11" si="7">G11*I11*400/360</f>
        <v>16</v>
      </c>
      <c r="K11">
        <f t="shared" si="3"/>
        <v>625000</v>
      </c>
      <c r="L11" s="1">
        <f t="shared" si="4"/>
        <v>16</v>
      </c>
      <c r="M11" s="1">
        <f t="shared" si="5"/>
        <v>0</v>
      </c>
      <c r="P11">
        <f>P10+0.1</f>
        <v>0.1</v>
      </c>
      <c r="Q11">
        <f>$Q$3*P11</f>
        <v>11472</v>
      </c>
      <c r="R11">
        <f>SQRT($Q$6 * Q11 + $R$6)</f>
        <v>1762.8902574497417</v>
      </c>
      <c r="S11">
        <f t="shared" ref="S11:S20" si="8">10000000/R11</f>
        <v>5672.5028445425451</v>
      </c>
    </row>
    <row r="12" spans="2:25" x14ac:dyDescent="0.25">
      <c r="B12">
        <v>80</v>
      </c>
      <c r="C12">
        <v>8</v>
      </c>
      <c r="D12">
        <f t="shared" si="0"/>
        <v>10000000</v>
      </c>
      <c r="F12">
        <v>0.1</v>
      </c>
      <c r="G12">
        <f t="shared" ref="G12" si="9">(F12/40)*360</f>
        <v>0.9</v>
      </c>
      <c r="I12">
        <v>32</v>
      </c>
      <c r="J12">
        <f t="shared" ref="J12" si="10">G12*I12*400/360</f>
        <v>32</v>
      </c>
      <c r="K12">
        <f t="shared" si="3"/>
        <v>312500</v>
      </c>
      <c r="L12" s="1">
        <f t="shared" si="4"/>
        <v>32</v>
      </c>
      <c r="M12" s="1">
        <f t="shared" si="5"/>
        <v>0</v>
      </c>
      <c r="P12">
        <f t="shared" ref="P12:P20" si="11">P11+0.1</f>
        <v>0.2</v>
      </c>
      <c r="Q12">
        <f t="shared" ref="Q12:Q20" si="12">$Q$3*P12</f>
        <v>22944</v>
      </c>
      <c r="R12">
        <f t="shared" ref="R12:R20" si="13">SQRT($Q$6 * Q12 + $R$6)</f>
        <v>2229.8992392308742</v>
      </c>
      <c r="S12">
        <f t="shared" si="8"/>
        <v>4484.5075616282784</v>
      </c>
      <c r="V12" s="3"/>
    </row>
    <row r="13" spans="2:25" x14ac:dyDescent="0.25">
      <c r="B13">
        <v>80</v>
      </c>
      <c r="C13">
        <v>8</v>
      </c>
      <c r="D13">
        <f t="shared" si="0"/>
        <v>10000000</v>
      </c>
      <c r="F13">
        <v>0.5</v>
      </c>
      <c r="G13">
        <f t="shared" ref="G13" si="14">(F13/40)*360</f>
        <v>4.5</v>
      </c>
      <c r="I13">
        <v>32</v>
      </c>
      <c r="J13">
        <f t="shared" ref="J13" si="15">G13*I13*400/360</f>
        <v>160</v>
      </c>
      <c r="K13">
        <f t="shared" si="3"/>
        <v>62500</v>
      </c>
      <c r="L13" s="1">
        <f t="shared" si="4"/>
        <v>160</v>
      </c>
      <c r="M13" s="1">
        <f t="shared" si="5"/>
        <v>0</v>
      </c>
      <c r="P13">
        <f t="shared" si="11"/>
        <v>0.30000000000000004</v>
      </c>
      <c r="Q13">
        <f t="shared" si="12"/>
        <v>34416.000000000007</v>
      </c>
      <c r="R13">
        <f t="shared" si="13"/>
        <v>2614.7885525284159</v>
      </c>
      <c r="S13">
        <f t="shared" si="8"/>
        <v>3824.4010171798877</v>
      </c>
    </row>
    <row r="14" spans="2:25" x14ac:dyDescent="0.25">
      <c r="B14">
        <v>80</v>
      </c>
      <c r="C14">
        <v>8</v>
      </c>
      <c r="D14">
        <f t="shared" si="0"/>
        <v>10000000</v>
      </c>
      <c r="F14">
        <v>1</v>
      </c>
      <c r="G14">
        <f t="shared" ref="G14" si="16">(F14/40)*360</f>
        <v>9</v>
      </c>
      <c r="I14">
        <v>32</v>
      </c>
      <c r="J14">
        <f t="shared" ref="J14" si="17">G14*I14*400/360</f>
        <v>320</v>
      </c>
      <c r="K14">
        <f t="shared" si="3"/>
        <v>31250</v>
      </c>
      <c r="L14" s="1">
        <f t="shared" si="4"/>
        <v>320</v>
      </c>
      <c r="M14" s="1">
        <f t="shared" si="5"/>
        <v>0</v>
      </c>
      <c r="P14">
        <f t="shared" si="11"/>
        <v>0.4</v>
      </c>
      <c r="Q14">
        <f t="shared" si="12"/>
        <v>45888</v>
      </c>
      <c r="R14">
        <f t="shared" si="13"/>
        <v>2949.8792740966305</v>
      </c>
      <c r="S14">
        <f t="shared" si="8"/>
        <v>3389.9692396945279</v>
      </c>
    </row>
    <row r="15" spans="2:25" x14ac:dyDescent="0.25">
      <c r="B15">
        <v>80</v>
      </c>
      <c r="C15">
        <v>8</v>
      </c>
      <c r="D15">
        <f t="shared" si="0"/>
        <v>10000000</v>
      </c>
      <c r="F15">
        <v>2</v>
      </c>
      <c r="G15">
        <f t="shared" ref="G15" si="18">(F15/40)*360</f>
        <v>18</v>
      </c>
      <c r="I15">
        <v>32</v>
      </c>
      <c r="J15">
        <f t="shared" ref="J15" si="19">G15*I15*400/360</f>
        <v>640</v>
      </c>
      <c r="K15">
        <f t="shared" si="3"/>
        <v>15625</v>
      </c>
      <c r="L15" s="1">
        <f t="shared" si="4"/>
        <v>640</v>
      </c>
      <c r="M15" s="1">
        <f t="shared" si="5"/>
        <v>0</v>
      </c>
      <c r="P15">
        <f t="shared" si="11"/>
        <v>0.5</v>
      </c>
      <c r="Q15">
        <f t="shared" si="12"/>
        <v>57360</v>
      </c>
      <c r="R15">
        <f t="shared" si="13"/>
        <v>3250.6086028705577</v>
      </c>
      <c r="S15">
        <f t="shared" si="8"/>
        <v>3076.3469927351971</v>
      </c>
    </row>
    <row r="16" spans="2:25" x14ac:dyDescent="0.25">
      <c r="B16">
        <v>80</v>
      </c>
      <c r="C16">
        <v>8</v>
      </c>
      <c r="D16">
        <f t="shared" si="0"/>
        <v>10000000</v>
      </c>
      <c r="F16">
        <v>3</v>
      </c>
      <c r="G16">
        <f t="shared" ref="G16" si="20">(F16/40)*360</f>
        <v>27</v>
      </c>
      <c r="I16">
        <v>32</v>
      </c>
      <c r="J16">
        <f t="shared" ref="J16" si="21">G16*I16*400/360</f>
        <v>960</v>
      </c>
      <c r="K16">
        <f t="shared" si="3"/>
        <v>10417</v>
      </c>
      <c r="L16" s="1">
        <f t="shared" si="4"/>
        <v>959.9692809830085</v>
      </c>
      <c r="M16" s="1">
        <f t="shared" si="5"/>
        <v>3.0719016991497483E-2</v>
      </c>
      <c r="P16">
        <f t="shared" si="11"/>
        <v>0.6</v>
      </c>
      <c r="Q16">
        <f t="shared" si="12"/>
        <v>68832</v>
      </c>
      <c r="R16">
        <f>SQRT($Q$6 * Q16 + $R$6)</f>
        <v>3525.7800337467588</v>
      </c>
      <c r="S16">
        <f t="shared" si="8"/>
        <v>2836.2518093260765</v>
      </c>
    </row>
    <row r="17" spans="2:19" x14ac:dyDescent="0.25">
      <c r="B17">
        <v>80</v>
      </c>
      <c r="C17">
        <v>8</v>
      </c>
      <c r="D17">
        <f t="shared" si="0"/>
        <v>10000000</v>
      </c>
      <c r="F17">
        <v>4</v>
      </c>
      <c r="G17">
        <f t="shared" ref="G17" si="22">(F17/40)*360</f>
        <v>36</v>
      </c>
      <c r="I17">
        <v>32</v>
      </c>
      <c r="J17">
        <f t="shared" ref="J17" si="23">G17*I17*400/360</f>
        <v>1280</v>
      </c>
      <c r="K17">
        <f t="shared" si="3"/>
        <v>7813</v>
      </c>
      <c r="L17" s="1">
        <f t="shared" si="4"/>
        <v>1279.9180852425445</v>
      </c>
      <c r="M17" s="1">
        <f t="shared" si="5"/>
        <v>8.1914757455479048E-2</v>
      </c>
      <c r="P17">
        <f t="shared" si="11"/>
        <v>0.7</v>
      </c>
      <c r="Q17">
        <f t="shared" si="12"/>
        <v>80304</v>
      </c>
      <c r="R17">
        <f t="shared" si="13"/>
        <v>3780.9778369726678</v>
      </c>
      <c r="S17">
        <f t="shared" si="8"/>
        <v>2644.8184652694881</v>
      </c>
    </row>
    <row r="18" spans="2:19" x14ac:dyDescent="0.25">
      <c r="B18">
        <v>80</v>
      </c>
      <c r="C18">
        <v>8</v>
      </c>
      <c r="D18">
        <f t="shared" si="0"/>
        <v>10000000</v>
      </c>
      <c r="F18">
        <v>5</v>
      </c>
      <c r="G18">
        <f t="shared" ref="G18:G23" si="24">(F18/40)*360</f>
        <v>45</v>
      </c>
      <c r="I18">
        <v>32</v>
      </c>
      <c r="J18">
        <f t="shared" ref="J18:J23" si="25">G18*I18*400/360</f>
        <v>1600</v>
      </c>
      <c r="K18">
        <f t="shared" si="3"/>
        <v>6250</v>
      </c>
      <c r="L18" s="1">
        <f t="shared" si="4"/>
        <v>1600</v>
      </c>
      <c r="M18" s="1">
        <f t="shared" si="5"/>
        <v>0</v>
      </c>
      <c r="P18">
        <f t="shared" si="11"/>
        <v>0.79999999999999993</v>
      </c>
      <c r="Q18">
        <f t="shared" si="12"/>
        <v>91775.999999999985</v>
      </c>
      <c r="R18">
        <f t="shared" si="13"/>
        <v>4020.0077065833748</v>
      </c>
      <c r="S18">
        <f t="shared" si="8"/>
        <v>2487.5574202565526</v>
      </c>
    </row>
    <row r="19" spans="2:19" x14ac:dyDescent="0.25">
      <c r="B19">
        <v>80</v>
      </c>
      <c r="C19">
        <v>8</v>
      </c>
      <c r="D19">
        <f t="shared" ref="D19:D23" si="26">B19*1000000/C19</f>
        <v>10000000</v>
      </c>
      <c r="F19">
        <v>10</v>
      </c>
      <c r="G19">
        <f t="shared" si="24"/>
        <v>90</v>
      </c>
      <c r="I19">
        <v>32</v>
      </c>
      <c r="J19">
        <f t="shared" si="25"/>
        <v>3200</v>
      </c>
      <c r="K19">
        <f t="shared" ref="K19:K23" si="27">ROUND(D19/J19,0)</f>
        <v>3125</v>
      </c>
      <c r="L19" s="1">
        <f t="shared" ref="L19:L23" si="28">D19/K19</f>
        <v>3200</v>
      </c>
      <c r="M19" s="1">
        <f t="shared" ref="M19:M23" si="29">J19-L19</f>
        <v>0</v>
      </c>
      <c r="P19">
        <f t="shared" si="11"/>
        <v>0.89999999999999991</v>
      </c>
      <c r="Q19">
        <f t="shared" si="12"/>
        <v>103247.99999999999</v>
      </c>
      <c r="R19">
        <f t="shared" si="13"/>
        <v>4245.6013141015655</v>
      </c>
      <c r="S19">
        <f t="shared" si="8"/>
        <v>2355.3789581667666</v>
      </c>
    </row>
    <row r="20" spans="2:19" x14ac:dyDescent="0.25">
      <c r="B20">
        <v>80</v>
      </c>
      <c r="C20">
        <v>8</v>
      </c>
      <c r="D20">
        <f t="shared" si="26"/>
        <v>10000000</v>
      </c>
      <c r="F20">
        <v>15</v>
      </c>
      <c r="G20">
        <f t="shared" si="24"/>
        <v>135</v>
      </c>
      <c r="I20">
        <v>32</v>
      </c>
      <c r="J20">
        <f t="shared" si="25"/>
        <v>4800</v>
      </c>
      <c r="K20">
        <f t="shared" si="27"/>
        <v>2083</v>
      </c>
      <c r="L20" s="1">
        <f t="shared" si="28"/>
        <v>4800.7681228996644</v>
      </c>
      <c r="M20" s="1">
        <f t="shared" si="29"/>
        <v>-0.76812289966437675</v>
      </c>
      <c r="P20">
        <f t="shared" si="11"/>
        <v>0.99999999999999989</v>
      </c>
      <c r="Q20">
        <f t="shared" si="12"/>
        <v>114719.99999999999</v>
      </c>
      <c r="R20">
        <f t="shared" si="13"/>
        <v>4459.7980980771044</v>
      </c>
      <c r="S20">
        <f t="shared" si="8"/>
        <v>2242.2539720602194</v>
      </c>
    </row>
    <row r="21" spans="2:19" x14ac:dyDescent="0.25">
      <c r="B21">
        <v>80</v>
      </c>
      <c r="C21">
        <v>8</v>
      </c>
      <c r="D21">
        <f t="shared" si="26"/>
        <v>10000000</v>
      </c>
      <c r="F21">
        <v>20</v>
      </c>
      <c r="G21">
        <f t="shared" si="24"/>
        <v>180</v>
      </c>
      <c r="I21">
        <v>16</v>
      </c>
      <c r="J21">
        <f t="shared" si="25"/>
        <v>3200</v>
      </c>
      <c r="K21">
        <f t="shared" si="27"/>
        <v>3125</v>
      </c>
      <c r="L21" s="1">
        <f t="shared" si="28"/>
        <v>3200</v>
      </c>
      <c r="M21" s="1">
        <f t="shared" si="29"/>
        <v>0</v>
      </c>
    </row>
    <row r="22" spans="2:19" x14ac:dyDescent="0.25">
      <c r="B22">
        <v>80</v>
      </c>
      <c r="C22">
        <v>8</v>
      </c>
      <c r="D22">
        <f t="shared" si="26"/>
        <v>10000000</v>
      </c>
      <c r="F22">
        <v>25</v>
      </c>
      <c r="G22">
        <f t="shared" si="24"/>
        <v>225</v>
      </c>
      <c r="I22">
        <v>16</v>
      </c>
      <c r="J22">
        <f t="shared" si="25"/>
        <v>4000</v>
      </c>
      <c r="K22">
        <f t="shared" si="27"/>
        <v>2500</v>
      </c>
      <c r="L22" s="1">
        <f t="shared" si="28"/>
        <v>4000</v>
      </c>
      <c r="M22" s="1">
        <f t="shared" si="29"/>
        <v>0</v>
      </c>
    </row>
    <row r="23" spans="2:19" x14ac:dyDescent="0.25">
      <c r="B23">
        <v>80</v>
      </c>
      <c r="C23">
        <v>8</v>
      </c>
      <c r="D23">
        <f t="shared" si="26"/>
        <v>10000000</v>
      </c>
      <c r="F23">
        <v>30</v>
      </c>
      <c r="G23">
        <f t="shared" si="24"/>
        <v>270</v>
      </c>
      <c r="I23">
        <v>16</v>
      </c>
      <c r="J23">
        <f t="shared" si="25"/>
        <v>4800</v>
      </c>
      <c r="K23">
        <f t="shared" si="27"/>
        <v>2083</v>
      </c>
      <c r="L23" s="1">
        <f t="shared" si="28"/>
        <v>4800.7681228996644</v>
      </c>
      <c r="M23" s="1">
        <f t="shared" si="29"/>
        <v>-0.76812289966437675</v>
      </c>
    </row>
    <row r="24" spans="2:19" x14ac:dyDescent="0.25">
      <c r="B24">
        <v>80</v>
      </c>
      <c r="C24">
        <v>8</v>
      </c>
      <c r="D24">
        <f t="shared" ref="D24" si="30">B24*1000000/C24</f>
        <v>10000000</v>
      </c>
      <c r="F24">
        <v>35</v>
      </c>
      <c r="G24">
        <f t="shared" ref="G24" si="31">(F24/40)*360</f>
        <v>315</v>
      </c>
      <c r="I24">
        <v>8</v>
      </c>
      <c r="J24">
        <f t="shared" ref="J24" si="32">G24*I24*400/360</f>
        <v>2800</v>
      </c>
      <c r="K24">
        <f t="shared" ref="K24" si="33">ROUND(D24/J24,0)</f>
        <v>3571</v>
      </c>
      <c r="L24" s="1">
        <f t="shared" ref="L24" si="34">D24/K24</f>
        <v>2800.3360403248389</v>
      </c>
      <c r="M24" s="1">
        <f t="shared" ref="M24" si="35">J24-L24</f>
        <v>-0.33604032483890478</v>
      </c>
    </row>
    <row r="25" spans="2:19" x14ac:dyDescent="0.25">
      <c r="B25">
        <v>80</v>
      </c>
      <c r="C25">
        <v>8</v>
      </c>
      <c r="D25">
        <f t="shared" ref="D25" si="36">B25*1000000/C25</f>
        <v>10000000</v>
      </c>
      <c r="F25">
        <v>40</v>
      </c>
      <c r="G25">
        <f t="shared" ref="G25" si="37">(F25/40)*360</f>
        <v>360</v>
      </c>
      <c r="I25">
        <v>8</v>
      </c>
      <c r="J25">
        <f t="shared" ref="J25" si="38">G25*I25*400/360</f>
        <v>3200</v>
      </c>
      <c r="K25">
        <f t="shared" ref="K25" si="39">ROUND(D25/J25,0)</f>
        <v>3125</v>
      </c>
      <c r="L25" s="1">
        <f t="shared" ref="L25" si="40">D25/K25</f>
        <v>3200</v>
      </c>
      <c r="M25" s="1">
        <f t="shared" ref="M25" si="41">J25-L25</f>
        <v>0</v>
      </c>
    </row>
    <row r="26" spans="2:19" x14ac:dyDescent="0.25">
      <c r="B26">
        <v>80</v>
      </c>
      <c r="C26">
        <v>8</v>
      </c>
      <c r="D26">
        <f t="shared" ref="D26" si="42">B26*1000000/C26</f>
        <v>10000000</v>
      </c>
      <c r="F26">
        <v>45</v>
      </c>
      <c r="G26">
        <f t="shared" ref="G26" si="43">(F26/40)*360</f>
        <v>405</v>
      </c>
      <c r="I26">
        <v>4</v>
      </c>
      <c r="J26">
        <f t="shared" ref="J26" si="44">G26*I26*400/360</f>
        <v>1800</v>
      </c>
      <c r="K26">
        <f t="shared" ref="K26" si="45">ROUND(D26/J26,0)</f>
        <v>5556</v>
      </c>
      <c r="L26" s="1">
        <f t="shared" ref="L26" si="46">D26/K26</f>
        <v>1799.8560115190785</v>
      </c>
      <c r="M26" s="1">
        <f t="shared" ref="M26" si="47">J26-L26</f>
        <v>0.14398848092150729</v>
      </c>
    </row>
    <row r="27" spans="2:19" x14ac:dyDescent="0.25">
      <c r="B27">
        <v>80</v>
      </c>
      <c r="C27">
        <v>8</v>
      </c>
      <c r="D27">
        <f t="shared" ref="D27" si="48">B27*1000000/C27</f>
        <v>10000000</v>
      </c>
      <c r="F27">
        <v>50</v>
      </c>
      <c r="G27">
        <f t="shared" ref="G27" si="49">(F27/40)*360</f>
        <v>450</v>
      </c>
      <c r="I27">
        <v>4</v>
      </c>
      <c r="J27">
        <f t="shared" ref="J27" si="50">G27*I27*400/360</f>
        <v>2000</v>
      </c>
      <c r="K27">
        <f t="shared" ref="K27" si="51">ROUND(D27/J27,0)</f>
        <v>5000</v>
      </c>
      <c r="L27" s="1">
        <f t="shared" ref="L27" si="52">D27/K27</f>
        <v>2000</v>
      </c>
      <c r="M27" s="1">
        <f t="shared" ref="M27" si="53">J27-L27</f>
        <v>0</v>
      </c>
    </row>
    <row r="28" spans="2:19" x14ac:dyDescent="0.25">
      <c r="B28">
        <v>80</v>
      </c>
      <c r="C28">
        <v>8</v>
      </c>
      <c r="D28">
        <f t="shared" ref="D28" si="54">B28*1000000/C28</f>
        <v>10000000</v>
      </c>
      <c r="F28">
        <v>55</v>
      </c>
      <c r="G28">
        <f t="shared" ref="G28" si="55">(F28/40)*360</f>
        <v>495</v>
      </c>
      <c r="I28">
        <v>4</v>
      </c>
      <c r="J28">
        <f t="shared" ref="J28" si="56">G28*I28*400/360</f>
        <v>2200</v>
      </c>
      <c r="K28">
        <f t="shared" ref="K28" si="57">ROUND(D28/J28,0)</f>
        <v>4545</v>
      </c>
      <c r="L28" s="1">
        <f t="shared" ref="L28" si="58">D28/K28</f>
        <v>2200.2200220022</v>
      </c>
      <c r="M28" s="1">
        <f t="shared" ref="M28" si="59">J28-L28</f>
        <v>-0.22002200220003942</v>
      </c>
    </row>
    <row r="29" spans="2:19" x14ac:dyDescent="0.25">
      <c r="B29">
        <v>80</v>
      </c>
      <c r="C29">
        <v>8</v>
      </c>
      <c r="D29">
        <f t="shared" ref="D29:D31" si="60">B29*1000000/C29</f>
        <v>10000000</v>
      </c>
      <c r="F29">
        <v>60</v>
      </c>
      <c r="G29">
        <f t="shared" ref="G29:G31" si="61">(F29/40)*360</f>
        <v>540</v>
      </c>
      <c r="I29">
        <v>4</v>
      </c>
      <c r="J29">
        <f t="shared" ref="J29:J31" si="62">G29*I29*400/360</f>
        <v>2400</v>
      </c>
      <c r="K29">
        <f t="shared" ref="K29:K31" si="63">ROUND(D29/J29,0)</f>
        <v>4167</v>
      </c>
      <c r="L29" s="1">
        <f t="shared" ref="L29:L31" si="64">D29/K29</f>
        <v>2399.8080153587712</v>
      </c>
      <c r="M29" s="1">
        <f t="shared" ref="M29:M31" si="65">J29-L29</f>
        <v>0.19198464122882797</v>
      </c>
    </row>
    <row r="30" spans="2:19" x14ac:dyDescent="0.25">
      <c r="B30">
        <v>80</v>
      </c>
      <c r="C30">
        <v>8</v>
      </c>
      <c r="D30">
        <f t="shared" si="60"/>
        <v>10000000</v>
      </c>
      <c r="F30">
        <v>65</v>
      </c>
      <c r="G30">
        <f t="shared" si="61"/>
        <v>585</v>
      </c>
      <c r="I30">
        <v>4</v>
      </c>
      <c r="J30">
        <f t="shared" si="62"/>
        <v>2600</v>
      </c>
      <c r="K30">
        <f t="shared" si="63"/>
        <v>3846</v>
      </c>
      <c r="L30" s="1">
        <f t="shared" si="64"/>
        <v>2600.1040041601664</v>
      </c>
      <c r="M30" s="1">
        <f t="shared" si="65"/>
        <v>-0.10400416016636882</v>
      </c>
    </row>
    <row r="31" spans="2:19" x14ac:dyDescent="0.25">
      <c r="B31">
        <v>80</v>
      </c>
      <c r="C31">
        <v>8</v>
      </c>
      <c r="D31">
        <f t="shared" si="60"/>
        <v>10000000</v>
      </c>
      <c r="F31">
        <v>70</v>
      </c>
      <c r="G31">
        <f t="shared" si="61"/>
        <v>630</v>
      </c>
      <c r="I31">
        <v>4</v>
      </c>
      <c r="J31">
        <f t="shared" si="62"/>
        <v>2800</v>
      </c>
      <c r="K31">
        <f t="shared" si="63"/>
        <v>3571</v>
      </c>
      <c r="L31" s="1">
        <f t="shared" si="64"/>
        <v>2800.3360403248389</v>
      </c>
      <c r="M31" s="1">
        <f t="shared" si="65"/>
        <v>-0.33604032483890478</v>
      </c>
    </row>
    <row r="32" spans="2:19" x14ac:dyDescent="0.25">
      <c r="B32">
        <v>80</v>
      </c>
      <c r="C32">
        <v>8</v>
      </c>
      <c r="D32">
        <f t="shared" ref="D32:D33" si="66">B32*1000000/C32</f>
        <v>10000000</v>
      </c>
      <c r="F32">
        <v>75</v>
      </c>
      <c r="G32">
        <f t="shared" ref="G32:G33" si="67">(F32/40)*360</f>
        <v>675</v>
      </c>
      <c r="I32">
        <v>4</v>
      </c>
      <c r="J32">
        <f t="shared" ref="J32:J33" si="68">G32*I32*400/360</f>
        <v>3000</v>
      </c>
      <c r="K32">
        <f t="shared" ref="K32:K33" si="69">ROUND(D32/J32,0)</f>
        <v>3333</v>
      </c>
      <c r="L32" s="1">
        <f t="shared" ref="L32:L33" si="70">D32/K32</f>
        <v>3000.3000300030003</v>
      </c>
      <c r="M32" s="1">
        <f t="shared" ref="M32:M33" si="71">J32-L32</f>
        <v>-0.3000300030003018</v>
      </c>
    </row>
    <row r="33" spans="2:13" x14ac:dyDescent="0.25">
      <c r="B33">
        <v>80</v>
      </c>
      <c r="C33">
        <v>8</v>
      </c>
      <c r="D33">
        <f t="shared" si="66"/>
        <v>10000000</v>
      </c>
      <c r="F33">
        <v>80</v>
      </c>
      <c r="G33">
        <f t="shared" si="67"/>
        <v>720</v>
      </c>
      <c r="I33">
        <v>4</v>
      </c>
      <c r="J33">
        <f t="shared" si="68"/>
        <v>3200</v>
      </c>
      <c r="K33">
        <f t="shared" si="69"/>
        <v>3125</v>
      </c>
      <c r="L33" s="1">
        <f t="shared" si="70"/>
        <v>3200</v>
      </c>
      <c r="M33" s="1">
        <f t="shared" si="71"/>
        <v>0</v>
      </c>
    </row>
    <row r="36" spans="2:13" x14ac:dyDescent="0.25">
      <c r="F36" t="s">
        <v>11</v>
      </c>
      <c r="G36" t="s">
        <v>12</v>
      </c>
      <c r="H36" t="s">
        <v>13</v>
      </c>
      <c r="I36" t="s">
        <v>2</v>
      </c>
      <c r="J36" t="s">
        <v>9</v>
      </c>
      <c r="K36" t="s">
        <v>10</v>
      </c>
      <c r="L36" t="s">
        <v>15</v>
      </c>
      <c r="M36" t="s">
        <v>16</v>
      </c>
    </row>
    <row r="37" spans="2:13" x14ac:dyDescent="0.25">
      <c r="F37">
        <v>0</v>
      </c>
      <c r="G37">
        <v>0</v>
      </c>
      <c r="H37">
        <v>0</v>
      </c>
      <c r="I37">
        <v>1</v>
      </c>
      <c r="J37">
        <f>400*I37</f>
        <v>400</v>
      </c>
      <c r="K37">
        <f>40/J37</f>
        <v>0.1</v>
      </c>
      <c r="L37">
        <f>1/K37</f>
        <v>10</v>
      </c>
      <c r="M37">
        <f>L37*420</f>
        <v>4200</v>
      </c>
    </row>
    <row r="38" spans="2:13" x14ac:dyDescent="0.25">
      <c r="F38">
        <v>1</v>
      </c>
      <c r="G38">
        <v>0</v>
      </c>
      <c r="H38">
        <v>0</v>
      </c>
      <c r="I38">
        <v>2</v>
      </c>
      <c r="J38">
        <f t="shared" ref="J38:J42" si="72">400*I38</f>
        <v>800</v>
      </c>
      <c r="K38">
        <f t="shared" ref="K38:K42" si="73">40/J38</f>
        <v>0.05</v>
      </c>
      <c r="L38">
        <f t="shared" ref="L38:L42" si="74">1/K38</f>
        <v>20</v>
      </c>
      <c r="M38">
        <f t="shared" ref="M38:M42" si="75">L38*420</f>
        <v>8400</v>
      </c>
    </row>
    <row r="39" spans="2:13" x14ac:dyDescent="0.25">
      <c r="F39">
        <v>0</v>
      </c>
      <c r="G39">
        <v>1</v>
      </c>
      <c r="H39">
        <v>0</v>
      </c>
      <c r="I39">
        <v>4</v>
      </c>
      <c r="J39">
        <f t="shared" si="72"/>
        <v>1600</v>
      </c>
      <c r="K39">
        <f t="shared" si="73"/>
        <v>2.5000000000000001E-2</v>
      </c>
      <c r="L39">
        <f t="shared" si="74"/>
        <v>40</v>
      </c>
      <c r="M39">
        <f t="shared" si="75"/>
        <v>16800</v>
      </c>
    </row>
    <row r="40" spans="2:13" x14ac:dyDescent="0.25">
      <c r="F40">
        <v>1</v>
      </c>
      <c r="G40">
        <v>1</v>
      </c>
      <c r="H40">
        <v>0</v>
      </c>
      <c r="I40">
        <v>8</v>
      </c>
      <c r="J40">
        <f t="shared" si="72"/>
        <v>3200</v>
      </c>
      <c r="K40">
        <f t="shared" si="73"/>
        <v>1.2500000000000001E-2</v>
      </c>
      <c r="L40">
        <f t="shared" si="74"/>
        <v>80</v>
      </c>
      <c r="M40">
        <f t="shared" si="75"/>
        <v>33600</v>
      </c>
    </row>
    <row r="41" spans="2:13" x14ac:dyDescent="0.25">
      <c r="F41">
        <v>0</v>
      </c>
      <c r="G41">
        <v>0</v>
      </c>
      <c r="H41">
        <v>1</v>
      </c>
      <c r="I41">
        <v>16</v>
      </c>
      <c r="J41">
        <f t="shared" si="72"/>
        <v>6400</v>
      </c>
      <c r="K41">
        <f t="shared" si="73"/>
        <v>6.2500000000000003E-3</v>
      </c>
      <c r="L41">
        <f t="shared" si="74"/>
        <v>160</v>
      </c>
      <c r="M41">
        <f t="shared" si="75"/>
        <v>67200</v>
      </c>
    </row>
    <row r="42" spans="2:13" x14ac:dyDescent="0.25">
      <c r="F42">
        <v>1</v>
      </c>
      <c r="G42">
        <v>0</v>
      </c>
      <c r="H42">
        <v>1</v>
      </c>
      <c r="I42">
        <v>32</v>
      </c>
      <c r="J42">
        <f t="shared" si="72"/>
        <v>12800</v>
      </c>
      <c r="K42">
        <f t="shared" si="73"/>
        <v>3.1250000000000002E-3</v>
      </c>
      <c r="L42">
        <f t="shared" si="74"/>
        <v>320</v>
      </c>
      <c r="M42">
        <f t="shared" si="75"/>
        <v>134400</v>
      </c>
    </row>
  </sheetData>
  <conditionalFormatting sqref="J10:J33">
    <cfRule type="cellIs" dxfId="0" priority="1" operator="greaterThan">
      <formula>$J$3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Fleischer, Hannes</dc:creator>
  <cp:lastModifiedBy>Fleischer, Hannes</cp:lastModifiedBy>
  <dcterms:created xsi:type="dcterms:W3CDTF">2015-06-05T18:19:34Z</dcterms:created>
  <dcterms:modified xsi:type="dcterms:W3CDTF">2025-12-22T07:48:18Z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0d150-f41b-478f-a548-cf16ba2c6b6f_Enabled">
    <vt:lpwstr>true</vt:lpwstr>
  </property>
  <property fmtid="{D5CDD505-2E9C-101B-9397-08002B2CF9AE}" pid="3" name="MSIP_Label_8950d150-f41b-478f-a548-cf16ba2c6b6f_SetDate">
    <vt:lpwstr>2025-12-10T08:01:12Z</vt:lpwstr>
  </property>
  <property fmtid="{D5CDD505-2E9C-101B-9397-08002B2CF9AE}" pid="4" name="MSIP_Label_8950d150-f41b-478f-a548-cf16ba2c6b6f_Method">
    <vt:lpwstr>Standard</vt:lpwstr>
  </property>
  <property fmtid="{D5CDD505-2E9C-101B-9397-08002B2CF9AE}" pid="5" name="MSIP_Label_8950d150-f41b-478f-a548-cf16ba2c6b6f_Name">
    <vt:lpwstr>Internal</vt:lpwstr>
  </property>
  <property fmtid="{D5CDD505-2E9C-101B-9397-08002B2CF9AE}" pid="6" name="MSIP_Label_8950d150-f41b-478f-a548-cf16ba2c6b6f_SiteId">
    <vt:lpwstr>ed9114d4-e206-42bb-8637-1112932f3d50</vt:lpwstr>
  </property>
  <property fmtid="{D5CDD505-2E9C-101B-9397-08002B2CF9AE}" pid="7" name="MSIP_Label_8950d150-f41b-478f-a548-cf16ba2c6b6f_ActionId">
    <vt:lpwstr>948369b6-45e7-4cda-a91b-15faa1fc3b19</vt:lpwstr>
  </property>
  <property fmtid="{D5CDD505-2E9C-101B-9397-08002B2CF9AE}" pid="8" name="MSIP_Label_8950d150-f41b-478f-a548-cf16ba2c6b6f_ContentBits">
    <vt:lpwstr>0</vt:lpwstr>
  </property>
  <property fmtid="{D5CDD505-2E9C-101B-9397-08002B2CF9AE}" pid="9" name="MSIP_Label_8950d150-f41b-478f-a548-cf16ba2c6b6f_Tag">
    <vt:lpwstr>10, 3, 0, 1</vt:lpwstr>
  </property>
</Properties>
</file>