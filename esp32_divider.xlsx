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ivat\penplotter_04\"/>
    </mc:Choice>
  </mc:AlternateContent>
  <xr:revisionPtr revIDLastSave="0" documentId="13_ncr:1_{BC4CD6F7-812F-4EAC-AC8C-9B7293C43B4F}" xr6:coauthVersionLast="47" xr6:coauthVersionMax="47" xr10:uidLastSave="{00000000-0000-0000-0000-000000000000}"/>
  <bookViews>
    <workbookView xWindow="2250" yWindow="1020" windowWidth="26670" windowHeight="144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D36" i="1"/>
  <c r="C37" i="1"/>
  <c r="D37" i="1" s="1"/>
  <c r="B36" i="1"/>
  <c r="R12" i="1"/>
  <c r="R15" i="1"/>
  <c r="Q6" i="1"/>
  <c r="R13" i="1" s="1"/>
  <c r="P11" i="1"/>
  <c r="Q11" i="1" s="1"/>
  <c r="R6" i="1"/>
  <c r="R11" i="1" s="1"/>
  <c r="L37" i="1"/>
  <c r="M37" i="1" s="1"/>
  <c r="K3" i="1"/>
  <c r="G10" i="1"/>
  <c r="J10" i="1" s="1"/>
  <c r="D10" i="1"/>
  <c r="G11" i="1"/>
  <c r="J11" i="1" s="1"/>
  <c r="D11" i="1"/>
  <c r="G12" i="1"/>
  <c r="J12" i="1" s="1"/>
  <c r="D12" i="1"/>
  <c r="G13" i="1"/>
  <c r="J13" i="1" s="1"/>
  <c r="D13" i="1"/>
  <c r="G14" i="1"/>
  <c r="J14" i="1" s="1"/>
  <c r="D14" i="1"/>
  <c r="G15" i="1"/>
  <c r="J15" i="1" s="1"/>
  <c r="D15" i="1"/>
  <c r="G16" i="1"/>
  <c r="J16" i="1" s="1"/>
  <c r="D16" i="1"/>
  <c r="G17" i="1"/>
  <c r="J17" i="1" s="1"/>
  <c r="D17" i="1"/>
  <c r="G33" i="1"/>
  <c r="J33" i="1" s="1"/>
  <c r="D33" i="1"/>
  <c r="G32" i="1"/>
  <c r="J32" i="1" s="1"/>
  <c r="D32" i="1"/>
  <c r="G31" i="1"/>
  <c r="J31" i="1" s="1"/>
  <c r="D31" i="1"/>
  <c r="G30" i="1"/>
  <c r="J30" i="1" s="1"/>
  <c r="D30" i="1"/>
  <c r="G29" i="1"/>
  <c r="J29" i="1" s="1"/>
  <c r="D29" i="1"/>
  <c r="G28" i="1"/>
  <c r="J28" i="1" s="1"/>
  <c r="D28" i="1"/>
  <c r="G27" i="1"/>
  <c r="J27" i="1" s="1"/>
  <c r="D27" i="1"/>
  <c r="G26" i="1"/>
  <c r="J26" i="1" s="1"/>
  <c r="D26" i="1"/>
  <c r="G25" i="1"/>
  <c r="J25" i="1" s="1"/>
  <c r="D25" i="1"/>
  <c r="G24" i="1"/>
  <c r="J24" i="1" s="1"/>
  <c r="D24" i="1"/>
  <c r="J38" i="1"/>
  <c r="K38" i="1" s="1"/>
  <c r="L38" i="1" s="1"/>
  <c r="M38" i="1" s="1"/>
  <c r="J39" i="1"/>
  <c r="K39" i="1" s="1"/>
  <c r="L39" i="1" s="1"/>
  <c r="M39" i="1" s="1"/>
  <c r="J40" i="1"/>
  <c r="K40" i="1" s="1"/>
  <c r="L40" i="1" s="1"/>
  <c r="M40" i="1" s="1"/>
  <c r="J41" i="1"/>
  <c r="K41" i="1" s="1"/>
  <c r="L41" i="1" s="1"/>
  <c r="M41" i="1" s="1"/>
  <c r="J42" i="1"/>
  <c r="K42" i="1" s="1"/>
  <c r="L42" i="1" s="1"/>
  <c r="M42" i="1" s="1"/>
  <c r="J37" i="1"/>
  <c r="K37" i="1" s="1"/>
  <c r="D19" i="1"/>
  <c r="D20" i="1"/>
  <c r="D21" i="1"/>
  <c r="D22" i="1"/>
  <c r="D23" i="1"/>
  <c r="D18" i="1"/>
  <c r="G23" i="1"/>
  <c r="J23" i="1" s="1"/>
  <c r="G22" i="1"/>
  <c r="J22" i="1" s="1"/>
  <c r="G21" i="1"/>
  <c r="J21" i="1" s="1"/>
  <c r="G20" i="1"/>
  <c r="J20" i="1" s="1"/>
  <c r="G19" i="1"/>
  <c r="J19" i="1" s="1"/>
  <c r="G18" i="1"/>
  <c r="J18" i="1" s="1"/>
  <c r="C38" i="1" l="1"/>
  <c r="R10" i="1"/>
  <c r="R16" i="1"/>
  <c r="R20" i="1"/>
  <c r="R19" i="1"/>
  <c r="R18" i="1"/>
  <c r="R17" i="1"/>
  <c r="R14" i="1"/>
  <c r="P12" i="1"/>
  <c r="S10" i="1"/>
  <c r="S11" i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26" i="1"/>
  <c r="L26" i="1" s="1"/>
  <c r="M26" i="1" s="1"/>
  <c r="K14" i="1"/>
  <c r="L14" i="1" s="1"/>
  <c r="M14" i="1" s="1"/>
  <c r="K17" i="1"/>
  <c r="L17" i="1" s="1"/>
  <c r="M17" i="1" s="1"/>
  <c r="K15" i="1"/>
  <c r="L15" i="1" s="1"/>
  <c r="M15" i="1" s="1"/>
  <c r="K16" i="1"/>
  <c r="L16" i="1" s="1"/>
  <c r="M16" i="1" s="1"/>
  <c r="K25" i="1"/>
  <c r="L25" i="1" s="1"/>
  <c r="M25" i="1" s="1"/>
  <c r="K18" i="1"/>
  <c r="L18" i="1" s="1"/>
  <c r="M18" i="1" s="1"/>
  <c r="K32" i="1"/>
  <c r="L32" i="1" s="1"/>
  <c r="M32" i="1" s="1"/>
  <c r="K33" i="1"/>
  <c r="L33" i="1" s="1"/>
  <c r="M33" i="1" s="1"/>
  <c r="K31" i="1"/>
  <c r="L31" i="1" s="1"/>
  <c r="M31" i="1" s="1"/>
  <c r="K30" i="1"/>
  <c r="L30" i="1" s="1"/>
  <c r="M30" i="1" s="1"/>
  <c r="K29" i="1"/>
  <c r="L29" i="1" s="1"/>
  <c r="M29" i="1" s="1"/>
  <c r="K28" i="1"/>
  <c r="L28" i="1" s="1"/>
  <c r="M28" i="1" s="1"/>
  <c r="K27" i="1"/>
  <c r="L27" i="1" s="1"/>
  <c r="M27" i="1" s="1"/>
  <c r="K24" i="1"/>
  <c r="L24" i="1" s="1"/>
  <c r="M24" i="1" s="1"/>
  <c r="K22" i="1"/>
  <c r="L22" i="1" s="1"/>
  <c r="M22" i="1" s="1"/>
  <c r="K23" i="1"/>
  <c r="L23" i="1" s="1"/>
  <c r="M23" i="1" s="1"/>
  <c r="K21" i="1"/>
  <c r="L21" i="1" s="1"/>
  <c r="M21" i="1" s="1"/>
  <c r="K20" i="1"/>
  <c r="L20" i="1" s="1"/>
  <c r="M20" i="1" s="1"/>
  <c r="K19" i="1"/>
  <c r="L19" i="1" s="1"/>
  <c r="M19" i="1" s="1"/>
  <c r="D38" i="1" l="1"/>
  <c r="C39" i="1"/>
  <c r="P13" i="1"/>
  <c r="Q12" i="1"/>
  <c r="S12" i="1" s="1"/>
  <c r="C40" i="1" l="1"/>
  <c r="D39" i="1"/>
  <c r="P14" i="1"/>
  <c r="Q13" i="1"/>
  <c r="S13" i="1" s="1"/>
  <c r="C41" i="1" l="1"/>
  <c r="D40" i="1"/>
  <c r="P15" i="1"/>
  <c r="Q14" i="1"/>
  <c r="S14" i="1" s="1"/>
  <c r="D41" i="1" l="1"/>
  <c r="C42" i="1"/>
  <c r="P16" i="1"/>
  <c r="Q15" i="1"/>
  <c r="S15" i="1" s="1"/>
  <c r="C43" i="1" l="1"/>
  <c r="D42" i="1"/>
  <c r="P17" i="1"/>
  <c r="Q16" i="1"/>
  <c r="S16" i="1" s="1"/>
  <c r="D43" i="1" l="1"/>
  <c r="C44" i="1"/>
  <c r="P18" i="1"/>
  <c r="Q17" i="1"/>
  <c r="S17" i="1" s="1"/>
  <c r="D44" i="1" l="1"/>
  <c r="C45" i="1"/>
  <c r="P19" i="1"/>
  <c r="Q18" i="1"/>
  <c r="S18" i="1" s="1"/>
  <c r="C46" i="1" l="1"/>
  <c r="D45" i="1"/>
  <c r="P20" i="1"/>
  <c r="Q20" i="1" s="1"/>
  <c r="S20" i="1" s="1"/>
  <c r="Q19" i="1"/>
  <c r="S19" i="1" s="1"/>
  <c r="C47" i="1" l="1"/>
  <c r="D46" i="1"/>
  <c r="D47" i="1" l="1"/>
  <c r="C48" i="1"/>
  <c r="C49" i="1" l="1"/>
  <c r="D48" i="1"/>
  <c r="D49" i="1" l="1"/>
  <c r="C50" i="1"/>
  <c r="C51" i="1" l="1"/>
  <c r="D50" i="1"/>
  <c r="D51" i="1" l="1"/>
  <c r="C52" i="1"/>
  <c r="D52" i="1" l="1"/>
  <c r="C53" i="1"/>
  <c r="C54" i="1" l="1"/>
  <c r="D53" i="1"/>
  <c r="C55" i="1" l="1"/>
  <c r="D54" i="1"/>
  <c r="C56" i="1" l="1"/>
  <c r="D55" i="1"/>
  <c r="C57" i="1" l="1"/>
  <c r="D56" i="1"/>
  <c r="D57" i="1" l="1"/>
  <c r="C58" i="1"/>
  <c r="D58" i="1" l="1"/>
  <c r="C59" i="1"/>
  <c r="C60" i="1" l="1"/>
  <c r="D59" i="1"/>
  <c r="C61" i="1" l="1"/>
  <c r="D60" i="1"/>
  <c r="C62" i="1" l="1"/>
  <c r="D61" i="1"/>
  <c r="C63" i="1" l="1"/>
  <c r="D62" i="1"/>
  <c r="D63" i="1" l="1"/>
  <c r="C64" i="1"/>
  <c r="D64" i="1" l="1"/>
  <c r="C65" i="1"/>
  <c r="D65" i="1" l="1"/>
  <c r="C66" i="1"/>
  <c r="D66" i="1" l="1"/>
  <c r="C67" i="1"/>
  <c r="D67" i="1" l="1"/>
  <c r="C68" i="1"/>
  <c r="D68" i="1" l="1"/>
  <c r="C69" i="1"/>
  <c r="D69" i="1" s="1"/>
</calcChain>
</file>

<file path=xl/sharedStrings.xml><?xml version="1.0" encoding="utf-8"?>
<sst xmlns="http://schemas.openxmlformats.org/spreadsheetml/2006/main" count="28" uniqueCount="25">
  <si>
    <t>internal clock (mhz)</t>
  </si>
  <si>
    <t>divider</t>
  </si>
  <si>
    <t>resolution</t>
  </si>
  <si>
    <t>steps</t>
  </si>
  <si>
    <t>alarm</t>
  </si>
  <si>
    <t>mm/s</t>
  </si>
  <si>
    <t>deg/s</t>
  </si>
  <si>
    <t>max</t>
  </si>
  <si>
    <t>clock (hz)</t>
  </si>
  <si>
    <t>steps/360</t>
  </si>
  <si>
    <t>mm/step</t>
  </si>
  <si>
    <t>M0</t>
  </si>
  <si>
    <t>M1</t>
  </si>
  <si>
    <t>M2</t>
  </si>
  <si>
    <t>us/step</t>
  </si>
  <si>
    <t>step/mm</t>
  </si>
  <si>
    <t>step/420mm</t>
  </si>
  <si>
    <t>dPrim</t>
  </si>
  <si>
    <t>frqI</t>
  </si>
  <si>
    <t>frqO</t>
  </si>
  <si>
    <t>frqA2</t>
  </si>
  <si>
    <t>microsTotal</t>
  </si>
  <si>
    <t>frqII</t>
  </si>
  <si>
    <t>frq</t>
  </si>
  <si>
    <t>planar.r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</si>
</sst>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43" fontId="0" fillId="0" borderId="0" xfId="1" applyFont="1"/>
  </cellXfs>
  <cellStyles count="2">
    <cellStyle name="Komma" xfId="1" builtinId="3"/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69"/>
  <sheetViews>
    <sheetView tabSelected="1" topLeftCell="A23" workbookViewId="0">
      <selection activeCell="K45" sqref="K45"/>
    </sheetView>
  </sheetViews>
  <sheetFormatPr baseColWidth="10" defaultColWidth="9.140625" defaultRowHeight="15" x14ac:dyDescent="0.25"/>
  <cols>
    <col min="2" max="2" width="19.28515625" customWidth="1"/>
    <col min="3" max="3" width="36.42578125" customWidth="1"/>
    <col min="4" max="4" width="11" bestFit="1" customWidth="1"/>
    <col min="5" max="5" width="3.85546875" customWidth="1"/>
    <col min="6" max="8" width="6.28515625" customWidth="1"/>
    <col min="9" max="9" width="10.140625" bestFit="1" customWidth="1"/>
    <col min="10" max="10" width="9.85546875" customWidth="1"/>
    <col min="11" max="11" width="9.42578125" customWidth="1"/>
    <col min="12" max="12" width="9.5703125" bestFit="1" customWidth="1"/>
    <col min="13" max="13" width="13.140625" customWidth="1"/>
    <col min="18" max="18" width="23" customWidth="1"/>
    <col min="19" max="19" width="16.28515625" customWidth="1"/>
    <col min="20" max="20" width="11.28515625" bestFit="1" customWidth="1"/>
    <col min="22" max="22" width="34.42578125" customWidth="1"/>
    <col min="23" max="24" width="15" customWidth="1"/>
    <col min="25" max="25" width="29.28515625" customWidth="1"/>
    <col min="26" max="26" width="12.5703125" customWidth="1"/>
  </cols>
  <sheetData>
    <row r="2" spans="2:25" x14ac:dyDescent="0.25">
      <c r="J2" t="s">
        <v>7</v>
      </c>
      <c r="K2" t="s">
        <v>14</v>
      </c>
      <c r="Q2" t="s">
        <v>17</v>
      </c>
      <c r="R2" t="s">
        <v>18</v>
      </c>
      <c r="S2" t="s">
        <v>19</v>
      </c>
      <c r="T2" t="s">
        <v>21</v>
      </c>
    </row>
    <row r="3" spans="2:25" x14ac:dyDescent="0.25">
      <c r="J3">
        <v>5000</v>
      </c>
      <c r="K3">
        <f>1000000/J3</f>
        <v>200</v>
      </c>
      <c r="Q3">
        <v>16000</v>
      </c>
      <c r="R3">
        <v>3388705</v>
      </c>
      <c r="S3">
        <v>564784</v>
      </c>
      <c r="T3">
        <v>8094114</v>
      </c>
    </row>
    <row r="5" spans="2:25" x14ac:dyDescent="0.25">
      <c r="Q5" t="s">
        <v>20</v>
      </c>
      <c r="R5" t="s">
        <v>22</v>
      </c>
    </row>
    <row r="6" spans="2:25" x14ac:dyDescent="0.25">
      <c r="Q6">
        <f>(S3-R3)*2000000 / T3</f>
        <v>-697771.49172843376</v>
      </c>
      <c r="R6" s="4">
        <f>R3*R3</f>
        <v>11483321577025</v>
      </c>
    </row>
    <row r="7" spans="2:25" x14ac:dyDescent="0.25">
      <c r="B7" t="s">
        <v>0</v>
      </c>
      <c r="C7" t="s">
        <v>1</v>
      </c>
      <c r="D7" t="s">
        <v>8</v>
      </c>
      <c r="F7" t="s">
        <v>5</v>
      </c>
      <c r="G7" t="s">
        <v>6</v>
      </c>
      <c r="I7" t="s">
        <v>2</v>
      </c>
      <c r="J7" t="s">
        <v>3</v>
      </c>
      <c r="K7" t="s">
        <v>4</v>
      </c>
      <c r="L7" t="s">
        <v>3</v>
      </c>
    </row>
    <row r="9" spans="2:25" x14ac:dyDescent="0.25">
      <c r="R9" t="s">
        <v>23</v>
      </c>
      <c r="S9" t="s">
        <v>4</v>
      </c>
    </row>
    <row r="10" spans="2:25" x14ac:dyDescent="0.25">
      <c r="B10">
        <v>80</v>
      </c>
      <c r="C10">
        <v>8</v>
      </c>
      <c r="D10">
        <f t="shared" ref="D10:D18" si="0">B10*1000000/C10</f>
        <v>10000000</v>
      </c>
      <c r="F10">
        <v>0.01</v>
      </c>
      <c r="G10">
        <f t="shared" ref="G10" si="1">(F10/40)*360</f>
        <v>0.09</v>
      </c>
      <c r="I10">
        <v>32</v>
      </c>
      <c r="J10">
        <f t="shared" ref="J10" si="2">G10*I10*400/360</f>
        <v>3.2</v>
      </c>
      <c r="K10">
        <f t="shared" ref="K10:K18" si="3">ROUND(D10/J10,0)</f>
        <v>3125000</v>
      </c>
      <c r="L10" s="1">
        <f t="shared" ref="L10:L18" si="4">D10/K10</f>
        <v>3.2</v>
      </c>
      <c r="M10" s="1">
        <f t="shared" ref="M10:M18" si="5">J10-L10</f>
        <v>0</v>
      </c>
      <c r="P10">
        <v>0</v>
      </c>
      <c r="Q10">
        <v>0</v>
      </c>
      <c r="R10">
        <f>SQRT($Q$6 * Q10 * 1000 + $R$6)</f>
        <v>3388705</v>
      </c>
      <c r="S10">
        <f>10000000/R10</f>
        <v>2.9509797990677855</v>
      </c>
      <c r="Y10" s="2"/>
    </row>
    <row r="11" spans="2:25" x14ac:dyDescent="0.25">
      <c r="B11">
        <v>80</v>
      </c>
      <c r="C11">
        <v>8</v>
      </c>
      <c r="D11">
        <f t="shared" si="0"/>
        <v>10000000</v>
      </c>
      <c r="F11">
        <v>0.05</v>
      </c>
      <c r="G11">
        <f t="shared" ref="G11" si="6">(F11/40)*360</f>
        <v>0.45</v>
      </c>
      <c r="I11">
        <v>32</v>
      </c>
      <c r="J11">
        <f t="shared" ref="J11" si="7">G11*I11*400/360</f>
        <v>16</v>
      </c>
      <c r="K11">
        <f t="shared" si="3"/>
        <v>625000</v>
      </c>
      <c r="L11" s="1">
        <f t="shared" si="4"/>
        <v>16</v>
      </c>
      <c r="M11" s="1">
        <f t="shared" si="5"/>
        <v>0</v>
      </c>
      <c r="P11">
        <f>P10+0.1</f>
        <v>0.1</v>
      </c>
      <c r="Q11">
        <f>$Q$3*P11</f>
        <v>1600</v>
      </c>
      <c r="R11">
        <f t="shared" ref="R11:R20" si="8">SQRT($Q$6 * Q11 * 1000 + $R$6)</f>
        <v>3219765.0830859547</v>
      </c>
      <c r="S11">
        <f t="shared" ref="S11:S20" si="9">10000000/R11</f>
        <v>3.1058166487151264</v>
      </c>
    </row>
    <row r="12" spans="2:25" x14ac:dyDescent="0.25">
      <c r="B12">
        <v>80</v>
      </c>
      <c r="C12">
        <v>8</v>
      </c>
      <c r="D12">
        <f t="shared" si="0"/>
        <v>10000000</v>
      </c>
      <c r="F12">
        <v>0.1</v>
      </c>
      <c r="G12">
        <f t="shared" ref="G12" si="10">(F12/40)*360</f>
        <v>0.9</v>
      </c>
      <c r="I12">
        <v>32</v>
      </c>
      <c r="J12">
        <f t="shared" ref="J12" si="11">G12*I12*400/360</f>
        <v>32</v>
      </c>
      <c r="K12">
        <f t="shared" si="3"/>
        <v>312500</v>
      </c>
      <c r="L12" s="1">
        <f t="shared" si="4"/>
        <v>32</v>
      </c>
      <c r="M12" s="1">
        <f t="shared" si="5"/>
        <v>0</v>
      </c>
      <c r="P12">
        <f t="shared" ref="P12:P20" si="12">P11+0.1</f>
        <v>0.2</v>
      </c>
      <c r="Q12">
        <f t="shared" ref="Q12:Q20" si="13">$Q$3*P12</f>
        <v>3200</v>
      </c>
      <c r="R12">
        <f t="shared" si="8"/>
        <v>3041455.704673999</v>
      </c>
      <c r="S12">
        <f t="shared" si="9"/>
        <v>3.2878992729147303</v>
      </c>
      <c r="V12" s="3"/>
    </row>
    <row r="13" spans="2:25" x14ac:dyDescent="0.25">
      <c r="B13">
        <v>80</v>
      </c>
      <c r="C13">
        <v>8</v>
      </c>
      <c r="D13">
        <f t="shared" si="0"/>
        <v>10000000</v>
      </c>
      <c r="F13">
        <v>0.5</v>
      </c>
      <c r="G13">
        <f t="shared" ref="G13" si="14">(F13/40)*360</f>
        <v>4.5</v>
      </c>
      <c r="I13">
        <v>32</v>
      </c>
      <c r="J13">
        <f t="shared" ref="J13" si="15">G13*I13*400/360</f>
        <v>160</v>
      </c>
      <c r="K13">
        <f t="shared" si="3"/>
        <v>62500</v>
      </c>
      <c r="L13" s="1">
        <f t="shared" si="4"/>
        <v>160</v>
      </c>
      <c r="M13" s="1">
        <f t="shared" si="5"/>
        <v>0</v>
      </c>
      <c r="P13">
        <f t="shared" si="12"/>
        <v>0.30000000000000004</v>
      </c>
      <c r="Q13">
        <f t="shared" si="13"/>
        <v>4800.0000000000009</v>
      </c>
      <c r="R13">
        <f t="shared" si="8"/>
        <v>2852020.0589632108</v>
      </c>
      <c r="S13">
        <f t="shared" si="9"/>
        <v>3.5062866996928768</v>
      </c>
    </row>
    <row r="14" spans="2:25" x14ac:dyDescent="0.25">
      <c r="B14">
        <v>80</v>
      </c>
      <c r="C14">
        <v>8</v>
      </c>
      <c r="D14">
        <f t="shared" si="0"/>
        <v>10000000</v>
      </c>
      <c r="F14">
        <v>1</v>
      </c>
      <c r="G14">
        <f t="shared" ref="G14" si="16">(F14/40)*360</f>
        <v>9</v>
      </c>
      <c r="I14">
        <v>32</v>
      </c>
      <c r="J14">
        <f t="shared" ref="J14" si="17">G14*I14*400/360</f>
        <v>320</v>
      </c>
      <c r="K14">
        <f t="shared" si="3"/>
        <v>31250</v>
      </c>
      <c r="L14" s="1">
        <f t="shared" si="4"/>
        <v>320</v>
      </c>
      <c r="M14" s="1">
        <f t="shared" si="5"/>
        <v>0</v>
      </c>
      <c r="P14">
        <f t="shared" si="12"/>
        <v>0.4</v>
      </c>
      <c r="Q14">
        <f t="shared" si="13"/>
        <v>6400</v>
      </c>
      <c r="R14">
        <f t="shared" si="8"/>
        <v>2649072.2960997163</v>
      </c>
      <c r="S14">
        <f t="shared" si="9"/>
        <v>3.7749064133595773</v>
      </c>
    </row>
    <row r="15" spans="2:25" x14ac:dyDescent="0.25">
      <c r="B15">
        <v>80</v>
      </c>
      <c r="C15">
        <v>8</v>
      </c>
      <c r="D15">
        <f t="shared" si="0"/>
        <v>10000000</v>
      </c>
      <c r="F15">
        <v>2</v>
      </c>
      <c r="G15">
        <f t="shared" ref="G15" si="18">(F15/40)*360</f>
        <v>18</v>
      </c>
      <c r="I15">
        <v>32</v>
      </c>
      <c r="J15">
        <f t="shared" ref="J15" si="19">G15*I15*400/360</f>
        <v>640</v>
      </c>
      <c r="K15">
        <f t="shared" si="3"/>
        <v>15625</v>
      </c>
      <c r="L15" s="1">
        <f t="shared" si="4"/>
        <v>640</v>
      </c>
      <c r="M15" s="1">
        <f t="shared" si="5"/>
        <v>0</v>
      </c>
      <c r="P15">
        <f t="shared" si="12"/>
        <v>0.5</v>
      </c>
      <c r="Q15">
        <f t="shared" si="13"/>
        <v>8000</v>
      </c>
      <c r="R15">
        <f t="shared" si="8"/>
        <v>2429228.199078368</v>
      </c>
      <c r="S15">
        <f t="shared" si="9"/>
        <v>4.1165338043556092</v>
      </c>
    </row>
    <row r="16" spans="2:25" x14ac:dyDescent="0.25">
      <c r="B16">
        <v>80</v>
      </c>
      <c r="C16">
        <v>8</v>
      </c>
      <c r="D16">
        <f t="shared" si="0"/>
        <v>10000000</v>
      </c>
      <c r="F16">
        <v>3</v>
      </c>
      <c r="G16">
        <f t="shared" ref="G16" si="20">(F16/40)*360</f>
        <v>27</v>
      </c>
      <c r="I16">
        <v>32</v>
      </c>
      <c r="J16">
        <f t="shared" ref="J16" si="21">G16*I16*400/360</f>
        <v>960</v>
      </c>
      <c r="K16">
        <f t="shared" si="3"/>
        <v>10417</v>
      </c>
      <c r="L16" s="1">
        <f t="shared" si="4"/>
        <v>959.9692809830085</v>
      </c>
      <c r="M16" s="1">
        <f t="shared" si="5"/>
        <v>3.0719016991497483E-2</v>
      </c>
      <c r="P16">
        <f t="shared" si="12"/>
        <v>0.6</v>
      </c>
      <c r="Q16">
        <f t="shared" si="13"/>
        <v>9600</v>
      </c>
      <c r="R16">
        <f t="shared" si="8"/>
        <v>2187399.1991477082</v>
      </c>
      <c r="S16">
        <f t="shared" si="9"/>
        <v>4.571639234345688</v>
      </c>
    </row>
    <row r="17" spans="2:19" x14ac:dyDescent="0.25">
      <c r="B17">
        <v>80</v>
      </c>
      <c r="C17">
        <v>8</v>
      </c>
      <c r="D17">
        <f t="shared" si="0"/>
        <v>10000000</v>
      </c>
      <c r="F17">
        <v>4</v>
      </c>
      <c r="G17">
        <f t="shared" ref="G17" si="22">(F17/40)*360</f>
        <v>36</v>
      </c>
      <c r="I17">
        <v>32</v>
      </c>
      <c r="J17">
        <f t="shared" ref="J17" si="23">G17*I17*400/360</f>
        <v>1280</v>
      </c>
      <c r="K17">
        <f t="shared" si="3"/>
        <v>7813</v>
      </c>
      <c r="L17" s="1">
        <f t="shared" si="4"/>
        <v>1279.9180852425445</v>
      </c>
      <c r="M17" s="1">
        <f t="shared" si="5"/>
        <v>8.1914757455479048E-2</v>
      </c>
      <c r="P17">
        <f t="shared" si="12"/>
        <v>0.7</v>
      </c>
      <c r="Q17">
        <f t="shared" si="13"/>
        <v>11200</v>
      </c>
      <c r="R17">
        <f t="shared" si="8"/>
        <v>1915275.6641451227</v>
      </c>
      <c r="S17">
        <f t="shared" si="9"/>
        <v>5.2211805262316995</v>
      </c>
    </row>
    <row r="18" spans="2:19" x14ac:dyDescent="0.25">
      <c r="B18">
        <v>80</v>
      </c>
      <c r="C18">
        <v>8</v>
      </c>
      <c r="D18">
        <f t="shared" si="0"/>
        <v>10000000</v>
      </c>
      <c r="F18">
        <v>5</v>
      </c>
      <c r="G18">
        <f t="shared" ref="G18:G23" si="24">(F18/40)*360</f>
        <v>45</v>
      </c>
      <c r="I18">
        <v>32</v>
      </c>
      <c r="J18">
        <f t="shared" ref="J18:J23" si="25">G18*I18*400/360</f>
        <v>1600</v>
      </c>
      <c r="K18">
        <f t="shared" si="3"/>
        <v>6250</v>
      </c>
      <c r="L18" s="1">
        <f t="shared" si="4"/>
        <v>1600</v>
      </c>
      <c r="M18" s="1">
        <f t="shared" si="5"/>
        <v>0</v>
      </c>
      <c r="P18">
        <f t="shared" si="12"/>
        <v>0.79999999999999993</v>
      </c>
      <c r="Q18">
        <f t="shared" si="13"/>
        <v>12799.999999999998</v>
      </c>
      <c r="R18">
        <f t="shared" si="8"/>
        <v>1597449.993865551</v>
      </c>
      <c r="S18">
        <f t="shared" si="9"/>
        <v>6.2599768621249545</v>
      </c>
    </row>
    <row r="19" spans="2:19" x14ac:dyDescent="0.25">
      <c r="B19">
        <v>80</v>
      </c>
      <c r="C19">
        <v>8</v>
      </c>
      <c r="D19">
        <f t="shared" ref="D19:D23" si="26">B19*1000000/C19</f>
        <v>10000000</v>
      </c>
      <c r="F19">
        <v>10</v>
      </c>
      <c r="G19">
        <f t="shared" si="24"/>
        <v>90</v>
      </c>
      <c r="I19">
        <v>32</v>
      </c>
      <c r="J19">
        <f t="shared" si="25"/>
        <v>3200</v>
      </c>
      <c r="K19">
        <f t="shared" ref="K19:K23" si="27">ROUND(D19/J19,0)</f>
        <v>3125</v>
      </c>
      <c r="L19" s="1">
        <f t="shared" ref="L19:L23" si="28">D19/K19</f>
        <v>3200</v>
      </c>
      <c r="M19" s="1">
        <f t="shared" ref="M19:M23" si="29">J19-L19</f>
        <v>0</v>
      </c>
      <c r="P19">
        <f t="shared" si="12"/>
        <v>0.89999999999999991</v>
      </c>
      <c r="Q19">
        <f t="shared" si="13"/>
        <v>14399.999999999998</v>
      </c>
      <c r="R19">
        <f t="shared" si="8"/>
        <v>1198086.8483275971</v>
      </c>
      <c r="S19">
        <f t="shared" si="9"/>
        <v>8.3466403240791305</v>
      </c>
    </row>
    <row r="20" spans="2:19" x14ac:dyDescent="0.25">
      <c r="B20">
        <v>80</v>
      </c>
      <c r="C20">
        <v>8</v>
      </c>
      <c r="D20">
        <f t="shared" si="26"/>
        <v>10000000</v>
      </c>
      <c r="F20">
        <v>15</v>
      </c>
      <c r="G20">
        <f t="shared" si="24"/>
        <v>135</v>
      </c>
      <c r="I20">
        <v>32</v>
      </c>
      <c r="J20">
        <f t="shared" si="25"/>
        <v>4800</v>
      </c>
      <c r="K20">
        <f t="shared" si="27"/>
        <v>2083</v>
      </c>
      <c r="L20" s="1">
        <f t="shared" si="28"/>
        <v>4800.7681228996644</v>
      </c>
      <c r="M20" s="1">
        <f t="shared" si="29"/>
        <v>-0.76812289966437675</v>
      </c>
      <c r="P20">
        <f t="shared" si="12"/>
        <v>0.99999999999999989</v>
      </c>
      <c r="Q20">
        <f t="shared" si="13"/>
        <v>15999.999999999998</v>
      </c>
      <c r="R20">
        <f t="shared" si="8"/>
        <v>564781.11633628525</v>
      </c>
      <c r="S20">
        <f t="shared" si="9"/>
        <v>17.705974422214467</v>
      </c>
    </row>
    <row r="21" spans="2:19" x14ac:dyDescent="0.25">
      <c r="B21">
        <v>80</v>
      </c>
      <c r="C21">
        <v>8</v>
      </c>
      <c r="D21">
        <f t="shared" si="26"/>
        <v>10000000</v>
      </c>
      <c r="F21">
        <v>20</v>
      </c>
      <c r="G21">
        <f t="shared" si="24"/>
        <v>180</v>
      </c>
      <c r="I21">
        <v>16</v>
      </c>
      <c r="J21">
        <f t="shared" si="25"/>
        <v>3200</v>
      </c>
      <c r="K21">
        <f t="shared" si="27"/>
        <v>3125</v>
      </c>
      <c r="L21" s="1">
        <f t="shared" si="28"/>
        <v>3200</v>
      </c>
      <c r="M21" s="1">
        <f t="shared" si="29"/>
        <v>0</v>
      </c>
    </row>
    <row r="22" spans="2:19" x14ac:dyDescent="0.25">
      <c r="B22">
        <v>80</v>
      </c>
      <c r="C22">
        <v>8</v>
      </c>
      <c r="D22">
        <f t="shared" si="26"/>
        <v>10000000</v>
      </c>
      <c r="F22">
        <v>25</v>
      </c>
      <c r="G22">
        <f t="shared" si="24"/>
        <v>225</v>
      </c>
      <c r="I22">
        <v>16</v>
      </c>
      <c r="J22">
        <f t="shared" si="25"/>
        <v>4000</v>
      </c>
      <c r="K22">
        <f t="shared" si="27"/>
        <v>2500</v>
      </c>
      <c r="L22" s="1">
        <f t="shared" si="28"/>
        <v>4000</v>
      </c>
      <c r="M22" s="1">
        <f t="shared" si="29"/>
        <v>0</v>
      </c>
    </row>
    <row r="23" spans="2:19" x14ac:dyDescent="0.25">
      <c r="B23">
        <v>80</v>
      </c>
      <c r="C23">
        <v>8</v>
      </c>
      <c r="D23">
        <f t="shared" si="26"/>
        <v>10000000</v>
      </c>
      <c r="F23">
        <v>30</v>
      </c>
      <c r="G23">
        <f t="shared" si="24"/>
        <v>270</v>
      </c>
      <c r="I23">
        <v>16</v>
      </c>
      <c r="J23">
        <f t="shared" si="25"/>
        <v>4800</v>
      </c>
      <c r="K23">
        <f t="shared" si="27"/>
        <v>2083</v>
      </c>
      <c r="L23" s="1">
        <f t="shared" si="28"/>
        <v>4800.7681228996644</v>
      </c>
      <c r="M23" s="1">
        <f t="shared" si="29"/>
        <v>-0.76812289966437675</v>
      </c>
    </row>
    <row r="24" spans="2:19" x14ac:dyDescent="0.25">
      <c r="B24">
        <v>80</v>
      </c>
      <c r="C24">
        <v>8</v>
      </c>
      <c r="D24">
        <f t="shared" ref="D24" si="30">B24*1000000/C24</f>
        <v>10000000</v>
      </c>
      <c r="F24">
        <v>35</v>
      </c>
      <c r="G24">
        <f t="shared" ref="G24" si="31">(F24/40)*360</f>
        <v>315</v>
      </c>
      <c r="I24">
        <v>8</v>
      </c>
      <c r="J24">
        <f t="shared" ref="J24" si="32">G24*I24*400/360</f>
        <v>2800</v>
      </c>
      <c r="K24">
        <f t="shared" ref="K24" si="33">ROUND(D24/J24,0)</f>
        <v>3571</v>
      </c>
      <c r="L24" s="1">
        <f t="shared" ref="L24" si="34">D24/K24</f>
        <v>2800.3360403248389</v>
      </c>
      <c r="M24" s="1">
        <f t="shared" ref="M24" si="35">J24-L24</f>
        <v>-0.33604032483890478</v>
      </c>
    </row>
    <row r="25" spans="2:19" x14ac:dyDescent="0.25">
      <c r="B25">
        <v>80</v>
      </c>
      <c r="C25">
        <v>8</v>
      </c>
      <c r="D25">
        <f t="shared" ref="D25" si="36">B25*1000000/C25</f>
        <v>10000000</v>
      </c>
      <c r="F25">
        <v>40</v>
      </c>
      <c r="G25">
        <f t="shared" ref="G25" si="37">(F25/40)*360</f>
        <v>360</v>
      </c>
      <c r="I25">
        <v>8</v>
      </c>
      <c r="J25">
        <f t="shared" ref="J25" si="38">G25*I25*400/360</f>
        <v>3200</v>
      </c>
      <c r="K25">
        <f t="shared" ref="K25" si="39">ROUND(D25/J25,0)</f>
        <v>3125</v>
      </c>
      <c r="L25" s="1">
        <f t="shared" ref="L25" si="40">D25/K25</f>
        <v>3200</v>
      </c>
      <c r="M25" s="1">
        <f t="shared" ref="M25" si="41">J25-L25</f>
        <v>0</v>
      </c>
    </row>
    <row r="26" spans="2:19" x14ac:dyDescent="0.25">
      <c r="B26">
        <v>80</v>
      </c>
      <c r="C26">
        <v>8</v>
      </c>
      <c r="D26">
        <f t="shared" ref="D26" si="42">B26*1000000/C26</f>
        <v>10000000</v>
      </c>
      <c r="F26">
        <v>45</v>
      </c>
      <c r="G26">
        <f t="shared" ref="G26" si="43">(F26/40)*360</f>
        <v>405</v>
      </c>
      <c r="I26">
        <v>4</v>
      </c>
      <c r="J26">
        <f t="shared" ref="J26" si="44">G26*I26*400/360</f>
        <v>1800</v>
      </c>
      <c r="K26">
        <f t="shared" ref="K26" si="45">ROUND(D26/J26,0)</f>
        <v>5556</v>
      </c>
      <c r="L26" s="1">
        <f t="shared" ref="L26" si="46">D26/K26</f>
        <v>1799.8560115190785</v>
      </c>
      <c r="M26" s="1">
        <f t="shared" ref="M26" si="47">J26-L26</f>
        <v>0.14398848092150729</v>
      </c>
    </row>
    <row r="27" spans="2:19" x14ac:dyDescent="0.25">
      <c r="B27">
        <v>80</v>
      </c>
      <c r="C27">
        <v>8</v>
      </c>
      <c r="D27">
        <f t="shared" ref="D27" si="48">B27*1000000/C27</f>
        <v>10000000</v>
      </c>
      <c r="F27">
        <v>50</v>
      </c>
      <c r="G27">
        <f t="shared" ref="G27" si="49">(F27/40)*360</f>
        <v>450</v>
      </c>
      <c r="I27">
        <v>4</v>
      </c>
      <c r="J27">
        <f t="shared" ref="J27" si="50">G27*I27*400/360</f>
        <v>2000</v>
      </c>
      <c r="K27">
        <f t="shared" ref="K27" si="51">ROUND(D27/J27,0)</f>
        <v>5000</v>
      </c>
      <c r="L27" s="1">
        <f t="shared" ref="L27" si="52">D27/K27</f>
        <v>2000</v>
      </c>
      <c r="M27" s="1">
        <f t="shared" ref="M27" si="53">J27-L27</f>
        <v>0</v>
      </c>
    </row>
    <row r="28" spans="2:19" x14ac:dyDescent="0.25">
      <c r="B28">
        <v>80</v>
      </c>
      <c r="C28">
        <v>8</v>
      </c>
      <c r="D28">
        <f t="shared" ref="D28" si="54">B28*1000000/C28</f>
        <v>10000000</v>
      </c>
      <c r="F28">
        <v>55</v>
      </c>
      <c r="G28">
        <f t="shared" ref="G28" si="55">(F28/40)*360</f>
        <v>495</v>
      </c>
      <c r="I28">
        <v>4</v>
      </c>
      <c r="J28">
        <f t="shared" ref="J28" si="56">G28*I28*400/360</f>
        <v>2200</v>
      </c>
      <c r="K28">
        <f t="shared" ref="K28" si="57">ROUND(D28/J28,0)</f>
        <v>4545</v>
      </c>
      <c r="L28" s="1">
        <f t="shared" ref="L28" si="58">D28/K28</f>
        <v>2200.2200220022</v>
      </c>
      <c r="M28" s="1">
        <f t="shared" ref="M28" si="59">J28-L28</f>
        <v>-0.22002200220003942</v>
      </c>
    </row>
    <row r="29" spans="2:19" x14ac:dyDescent="0.25">
      <c r="B29">
        <v>80</v>
      </c>
      <c r="C29">
        <v>8</v>
      </c>
      <c r="D29">
        <f t="shared" ref="D29:D31" si="60">B29*1000000/C29</f>
        <v>10000000</v>
      </c>
      <c r="F29">
        <v>60</v>
      </c>
      <c r="G29">
        <f t="shared" ref="G29:G31" si="61">(F29/40)*360</f>
        <v>540</v>
      </c>
      <c r="I29">
        <v>4</v>
      </c>
      <c r="J29">
        <f t="shared" ref="J29:J31" si="62">G29*I29*400/360</f>
        <v>2400</v>
      </c>
      <c r="K29">
        <f t="shared" ref="K29:K31" si="63">ROUND(D29/J29,0)</f>
        <v>4167</v>
      </c>
      <c r="L29" s="1">
        <f t="shared" ref="L29:L31" si="64">D29/K29</f>
        <v>2399.8080153587712</v>
      </c>
      <c r="M29" s="1">
        <f t="shared" ref="M29:M31" si="65">J29-L29</f>
        <v>0.19198464122882797</v>
      </c>
    </row>
    <row r="30" spans="2:19" x14ac:dyDescent="0.25">
      <c r="B30">
        <v>80</v>
      </c>
      <c r="C30">
        <v>8</v>
      </c>
      <c r="D30">
        <f t="shared" si="60"/>
        <v>10000000</v>
      </c>
      <c r="F30">
        <v>65</v>
      </c>
      <c r="G30">
        <f t="shared" si="61"/>
        <v>585</v>
      </c>
      <c r="I30">
        <v>4</v>
      </c>
      <c r="J30">
        <f t="shared" si="62"/>
        <v>2600</v>
      </c>
      <c r="K30">
        <f t="shared" si="63"/>
        <v>3846</v>
      </c>
      <c r="L30" s="1">
        <f t="shared" si="64"/>
        <v>2600.1040041601664</v>
      </c>
      <c r="M30" s="1">
        <f t="shared" si="65"/>
        <v>-0.10400416016636882</v>
      </c>
    </row>
    <row r="31" spans="2:19" x14ac:dyDescent="0.25">
      <c r="B31">
        <v>80</v>
      </c>
      <c r="C31">
        <v>8</v>
      </c>
      <c r="D31">
        <f t="shared" si="60"/>
        <v>10000000</v>
      </c>
      <c r="F31">
        <v>70</v>
      </c>
      <c r="G31">
        <f t="shared" si="61"/>
        <v>630</v>
      </c>
      <c r="I31">
        <v>4</v>
      </c>
      <c r="J31">
        <f t="shared" si="62"/>
        <v>2800</v>
      </c>
      <c r="K31">
        <f t="shared" si="63"/>
        <v>3571</v>
      </c>
      <c r="L31" s="1">
        <f t="shared" si="64"/>
        <v>2800.3360403248389</v>
      </c>
      <c r="M31" s="1">
        <f t="shared" si="65"/>
        <v>-0.33604032483890478</v>
      </c>
    </row>
    <row r="32" spans="2:19" x14ac:dyDescent="0.25">
      <c r="B32">
        <v>80</v>
      </c>
      <c r="C32">
        <v>8</v>
      </c>
      <c r="D32">
        <f t="shared" ref="D32:D33" si="66">B32*1000000/C32</f>
        <v>10000000</v>
      </c>
      <c r="F32">
        <v>75</v>
      </c>
      <c r="G32">
        <f t="shared" ref="G32:G33" si="67">(F32/40)*360</f>
        <v>675</v>
      </c>
      <c r="I32">
        <v>4</v>
      </c>
      <c r="J32">
        <f t="shared" ref="J32:J33" si="68">G32*I32*400/360</f>
        <v>3000</v>
      </c>
      <c r="K32">
        <f t="shared" ref="K32:K33" si="69">ROUND(D32/J32,0)</f>
        <v>3333</v>
      </c>
      <c r="L32" s="1">
        <f t="shared" ref="L32:L33" si="70">D32/K32</f>
        <v>3000.3000300030003</v>
      </c>
      <c r="M32" s="1">
        <f t="shared" ref="M32:M33" si="71">J32-L32</f>
        <v>-0.3000300030003018</v>
      </c>
    </row>
    <row r="33" spans="2:13" x14ac:dyDescent="0.25">
      <c r="B33">
        <v>80</v>
      </c>
      <c r="C33">
        <v>8</v>
      </c>
      <c r="D33">
        <f t="shared" si="66"/>
        <v>10000000</v>
      </c>
      <c r="F33">
        <v>80</v>
      </c>
      <c r="G33">
        <f t="shared" si="67"/>
        <v>720</v>
      </c>
      <c r="I33">
        <v>4</v>
      </c>
      <c r="J33">
        <f t="shared" si="68"/>
        <v>3200</v>
      </c>
      <c r="K33">
        <f t="shared" si="69"/>
        <v>3125</v>
      </c>
      <c r="L33" s="1">
        <f t="shared" si="70"/>
        <v>3200</v>
      </c>
      <c r="M33" s="1">
        <f t="shared" si="71"/>
        <v>0</v>
      </c>
    </row>
    <row r="36" spans="2:13" x14ac:dyDescent="0.25">
      <c r="B36">
        <f>(200*8*1000*30/18)</f>
        <v>2666666.6666666665</v>
      </c>
      <c r="C36">
        <v>2666666</v>
      </c>
      <c r="D36">
        <f>$B$36/C36</f>
        <v>1.0000002500000624</v>
      </c>
      <c r="F36" t="s">
        <v>11</v>
      </c>
      <c r="G36" t="s">
        <v>12</v>
      </c>
      <c r="H36" t="s">
        <v>13</v>
      </c>
      <c r="I36" t="s">
        <v>2</v>
      </c>
      <c r="J36" t="s">
        <v>9</v>
      </c>
      <c r="K36" t="s">
        <v>10</v>
      </c>
      <c r="L36" t="s">
        <v>15</v>
      </c>
      <c r="M36" t="s">
        <v>16</v>
      </c>
    </row>
    <row r="37" spans="2:13" x14ac:dyDescent="0.25">
      <c r="C37">
        <f>C36+1</f>
        <v>2666667</v>
      </c>
      <c r="D37">
        <f>$B$36/C37</f>
        <v>0.99999987500001553</v>
      </c>
      <c r="F37">
        <v>0</v>
      </c>
      <c r="G37">
        <v>0</v>
      </c>
      <c r="H37">
        <v>0</v>
      </c>
      <c r="I37">
        <v>1</v>
      </c>
      <c r="J37">
        <f>400*I37</f>
        <v>400</v>
      </c>
      <c r="K37">
        <f>40/J37</f>
        <v>0.1</v>
      </c>
      <c r="L37">
        <f>1/K37</f>
        <v>10</v>
      </c>
      <c r="M37">
        <f>L37*420</f>
        <v>4200</v>
      </c>
    </row>
    <row r="38" spans="2:13" x14ac:dyDescent="0.25">
      <c r="C38">
        <f t="shared" ref="C38:C69" si="72">C37+1</f>
        <v>2666668</v>
      </c>
      <c r="D38">
        <f t="shared" ref="D38:D54" si="73">$B$36/C38</f>
        <v>0.99999950000024995</v>
      </c>
      <c r="F38">
        <v>1</v>
      </c>
      <c r="G38">
        <v>0</v>
      </c>
      <c r="H38">
        <v>0</v>
      </c>
      <c r="I38">
        <v>2</v>
      </c>
      <c r="J38">
        <f t="shared" ref="J38:J42" si="74">400*I38</f>
        <v>800</v>
      </c>
      <c r="K38">
        <f t="shared" ref="K38:K42" si="75">40/J38</f>
        <v>0.05</v>
      </c>
      <c r="L38">
        <f t="shared" ref="L38:L42" si="76">1/K38</f>
        <v>20</v>
      </c>
      <c r="M38">
        <f t="shared" ref="M38:M42" si="77">L38*420</f>
        <v>8400</v>
      </c>
    </row>
    <row r="39" spans="2:13" x14ac:dyDescent="0.25">
      <c r="C39">
        <f t="shared" si="72"/>
        <v>2666669</v>
      </c>
      <c r="D39">
        <f t="shared" si="73"/>
        <v>0.9999991250007656</v>
      </c>
      <c r="F39">
        <v>0</v>
      </c>
      <c r="G39">
        <v>1</v>
      </c>
      <c r="H39">
        <v>0</v>
      </c>
      <c r="I39">
        <v>4</v>
      </c>
      <c r="J39">
        <f t="shared" si="74"/>
        <v>1600</v>
      </c>
      <c r="K39">
        <f t="shared" si="75"/>
        <v>2.5000000000000001E-2</v>
      </c>
      <c r="L39">
        <f t="shared" si="76"/>
        <v>40</v>
      </c>
      <c r="M39">
        <f t="shared" si="77"/>
        <v>16800</v>
      </c>
    </row>
    <row r="40" spans="2:13" x14ac:dyDescent="0.25">
      <c r="C40">
        <f t="shared" si="72"/>
        <v>2666670</v>
      </c>
      <c r="D40">
        <f t="shared" si="73"/>
        <v>0.99999875000156246</v>
      </c>
      <c r="F40">
        <v>1</v>
      </c>
      <c r="G40">
        <v>1</v>
      </c>
      <c r="H40">
        <v>0</v>
      </c>
      <c r="I40">
        <v>8</v>
      </c>
      <c r="J40">
        <f t="shared" si="74"/>
        <v>3200</v>
      </c>
      <c r="K40">
        <f t="shared" si="75"/>
        <v>1.2500000000000001E-2</v>
      </c>
      <c r="L40">
        <f t="shared" si="76"/>
        <v>80</v>
      </c>
      <c r="M40">
        <f t="shared" si="77"/>
        <v>33600</v>
      </c>
    </row>
    <row r="41" spans="2:13" x14ac:dyDescent="0.25">
      <c r="C41">
        <f t="shared" si="72"/>
        <v>2666671</v>
      </c>
      <c r="D41">
        <f t="shared" si="73"/>
        <v>0.99999837500264055</v>
      </c>
      <c r="F41">
        <v>0</v>
      </c>
      <c r="G41">
        <v>0</v>
      </c>
      <c r="H41">
        <v>1</v>
      </c>
      <c r="I41">
        <v>16</v>
      </c>
      <c r="J41">
        <f t="shared" si="74"/>
        <v>6400</v>
      </c>
      <c r="K41">
        <f t="shared" si="75"/>
        <v>6.2500000000000003E-3</v>
      </c>
      <c r="L41">
        <f t="shared" si="76"/>
        <v>160</v>
      </c>
      <c r="M41">
        <f t="shared" si="77"/>
        <v>67200</v>
      </c>
    </row>
    <row r="42" spans="2:13" x14ac:dyDescent="0.25">
      <c r="C42">
        <f t="shared" si="72"/>
        <v>2666672</v>
      </c>
      <c r="D42">
        <f t="shared" si="73"/>
        <v>0.99999800000399997</v>
      </c>
      <c r="F42">
        <v>1</v>
      </c>
      <c r="G42">
        <v>0</v>
      </c>
      <c r="H42">
        <v>1</v>
      </c>
      <c r="I42">
        <v>32</v>
      </c>
      <c r="J42">
        <f t="shared" si="74"/>
        <v>12800</v>
      </c>
      <c r="K42">
        <f t="shared" si="75"/>
        <v>3.1250000000000002E-3</v>
      </c>
      <c r="L42">
        <f t="shared" si="76"/>
        <v>320</v>
      </c>
      <c r="M42">
        <f t="shared" si="77"/>
        <v>134400</v>
      </c>
    </row>
    <row r="43" spans="2:13" x14ac:dyDescent="0.25">
      <c r="C43">
        <f t="shared" si="72"/>
        <v>2666673</v>
      </c>
      <c r="D43">
        <f t="shared" si="73"/>
        <v>0.9999976250056406</v>
      </c>
    </row>
    <row r="44" spans="2:13" x14ac:dyDescent="0.25">
      <c r="C44">
        <f t="shared" si="72"/>
        <v>2666674</v>
      </c>
      <c r="D44">
        <f t="shared" si="73"/>
        <v>0.99999725000756245</v>
      </c>
    </row>
    <row r="45" spans="2:13" x14ac:dyDescent="0.25">
      <c r="C45">
        <f t="shared" si="72"/>
        <v>2666675</v>
      </c>
      <c r="D45">
        <f t="shared" si="73"/>
        <v>0.99999687500976553</v>
      </c>
      <c r="I45" t="s">
        <v>24</v>
      </c>
    </row>
    <row r="46" spans="2:13" x14ac:dyDescent="0.25">
      <c r="C46">
        <f t="shared" si="72"/>
        <v>2666676</v>
      </c>
      <c r="D46">
        <f t="shared" si="73"/>
        <v>0.99999650001224993</v>
      </c>
      <c r="I46">
        <v>600</v>
      </c>
      <c r="J46">
        <f>I46*1000</f>
        <v>600000</v>
      </c>
    </row>
    <row r="47" spans="2:13" x14ac:dyDescent="0.25">
      <c r="C47">
        <f t="shared" si="72"/>
        <v>2666677</v>
      </c>
      <c r="D47">
        <f t="shared" si="73"/>
        <v>0.99999612501501556</v>
      </c>
    </row>
    <row r="48" spans="2:13" x14ac:dyDescent="0.25">
      <c r="C48">
        <f t="shared" si="72"/>
        <v>2666678</v>
      </c>
      <c r="D48">
        <f t="shared" si="73"/>
        <v>0.9999957500180624</v>
      </c>
    </row>
    <row r="49" spans="3:4" x14ac:dyDescent="0.25">
      <c r="C49">
        <f t="shared" si="72"/>
        <v>2666679</v>
      </c>
      <c r="D49">
        <f t="shared" si="73"/>
        <v>0.99999537502139046</v>
      </c>
    </row>
    <row r="50" spans="3:4" x14ac:dyDescent="0.25">
      <c r="C50">
        <f t="shared" si="72"/>
        <v>2666680</v>
      </c>
      <c r="D50">
        <f t="shared" si="73"/>
        <v>0.99999500002499986</v>
      </c>
    </row>
    <row r="51" spans="3:4" x14ac:dyDescent="0.25">
      <c r="C51">
        <f t="shared" si="72"/>
        <v>2666681</v>
      </c>
      <c r="D51">
        <f t="shared" si="73"/>
        <v>0.99999462502889036</v>
      </c>
    </row>
    <row r="52" spans="3:4" x14ac:dyDescent="0.25">
      <c r="C52">
        <f t="shared" si="72"/>
        <v>2666682</v>
      </c>
      <c r="D52">
        <f t="shared" si="73"/>
        <v>0.9999942500330623</v>
      </c>
    </row>
    <row r="53" spans="3:4" x14ac:dyDescent="0.25">
      <c r="C53">
        <f t="shared" si="72"/>
        <v>2666683</v>
      </c>
      <c r="D53">
        <f t="shared" si="73"/>
        <v>0.99999387503751536</v>
      </c>
    </row>
    <row r="54" spans="3:4" x14ac:dyDescent="0.25">
      <c r="C54">
        <f t="shared" si="72"/>
        <v>2666684</v>
      </c>
      <c r="D54">
        <f t="shared" si="73"/>
        <v>0.99999350004224963</v>
      </c>
    </row>
    <row r="55" spans="3:4" x14ac:dyDescent="0.25">
      <c r="C55">
        <f t="shared" si="72"/>
        <v>2666685</v>
      </c>
      <c r="D55">
        <f>$B$36/C55</f>
        <v>0.99999312504726523</v>
      </c>
    </row>
    <row r="56" spans="3:4" x14ac:dyDescent="0.25">
      <c r="C56">
        <f t="shared" si="72"/>
        <v>2666686</v>
      </c>
      <c r="D56">
        <f>$B$36/C56</f>
        <v>0.99999275005256205</v>
      </c>
    </row>
    <row r="57" spans="3:4" x14ac:dyDescent="0.25">
      <c r="C57">
        <f t="shared" si="72"/>
        <v>2666687</v>
      </c>
      <c r="D57">
        <f t="shared" ref="D57:D69" si="78">$B$36/C57</f>
        <v>0.99999237505814009</v>
      </c>
    </row>
    <row r="58" spans="3:4" x14ac:dyDescent="0.25">
      <c r="C58">
        <f t="shared" si="72"/>
        <v>2666688</v>
      </c>
      <c r="D58">
        <f t="shared" si="78"/>
        <v>0.99999200006399946</v>
      </c>
    </row>
    <row r="59" spans="3:4" x14ac:dyDescent="0.25">
      <c r="C59">
        <f t="shared" si="72"/>
        <v>2666689</v>
      </c>
      <c r="D59">
        <f t="shared" si="78"/>
        <v>0.99999162507013994</v>
      </c>
    </row>
    <row r="60" spans="3:4" x14ac:dyDescent="0.25">
      <c r="C60">
        <f t="shared" si="72"/>
        <v>2666690</v>
      </c>
      <c r="D60">
        <f t="shared" si="78"/>
        <v>0.99999125007656176</v>
      </c>
    </row>
    <row r="61" spans="3:4" x14ac:dyDescent="0.25">
      <c r="C61">
        <f t="shared" si="72"/>
        <v>2666691</v>
      </c>
      <c r="D61">
        <f t="shared" si="78"/>
        <v>0.99999087508326479</v>
      </c>
    </row>
    <row r="62" spans="3:4" x14ac:dyDescent="0.25">
      <c r="C62">
        <f t="shared" si="72"/>
        <v>2666692</v>
      </c>
      <c r="D62">
        <f t="shared" si="78"/>
        <v>0.99999050009024903</v>
      </c>
    </row>
    <row r="63" spans="3:4" x14ac:dyDescent="0.25">
      <c r="C63">
        <f t="shared" si="72"/>
        <v>2666693</v>
      </c>
      <c r="D63">
        <f t="shared" si="78"/>
        <v>0.99999012509751461</v>
      </c>
    </row>
    <row r="64" spans="3:4" x14ac:dyDescent="0.25">
      <c r="C64">
        <f t="shared" si="72"/>
        <v>2666694</v>
      </c>
      <c r="D64">
        <f t="shared" si="78"/>
        <v>0.99998975010506141</v>
      </c>
    </row>
    <row r="65" spans="3:4" x14ac:dyDescent="0.25">
      <c r="C65">
        <f t="shared" si="72"/>
        <v>2666695</v>
      </c>
      <c r="D65">
        <f t="shared" si="78"/>
        <v>0.99998937511288932</v>
      </c>
    </row>
    <row r="66" spans="3:4" x14ac:dyDescent="0.25">
      <c r="C66">
        <f t="shared" si="72"/>
        <v>2666696</v>
      </c>
      <c r="D66">
        <f t="shared" si="78"/>
        <v>0.99998900012099856</v>
      </c>
    </row>
    <row r="67" spans="3:4" x14ac:dyDescent="0.25">
      <c r="C67">
        <f t="shared" si="72"/>
        <v>2666697</v>
      </c>
      <c r="D67">
        <f t="shared" si="78"/>
        <v>0.99998862512938913</v>
      </c>
    </row>
    <row r="68" spans="3:4" x14ac:dyDescent="0.25">
      <c r="C68">
        <f t="shared" si="72"/>
        <v>2666698</v>
      </c>
      <c r="D68">
        <f t="shared" si="78"/>
        <v>0.99998825013806081</v>
      </c>
    </row>
    <row r="69" spans="3:4" x14ac:dyDescent="0.25">
      <c r="C69">
        <f t="shared" si="72"/>
        <v>2666699</v>
      </c>
      <c r="D69">
        <f t="shared" si="78"/>
        <v>0.99998787514701382</v>
      </c>
    </row>
  </sheetData>
  <conditionalFormatting sqref="J10:J33">
    <cfRule type="cellIs" dxfId="0" priority="1" operator="greaterThan">
      <formula>$J$3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Hannes</dc:creator>
  <cp:lastModifiedBy>Fleischer, Hannes</cp:lastModifiedBy>
  <dcterms:created xsi:type="dcterms:W3CDTF">2015-06-05T18:19:34Z</dcterms:created>
  <dcterms:modified xsi:type="dcterms:W3CDTF">2026-01-20T15:11:07Z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0d150-f41b-478f-a548-cf16ba2c6b6f_Enabled">
    <vt:lpwstr>true</vt:lpwstr>
  </property>
  <property fmtid="{D5CDD505-2E9C-101B-9397-08002B2CF9AE}" pid="3" name="MSIP_Label_8950d150-f41b-478f-a548-cf16ba2c6b6f_SetDate">
    <vt:lpwstr>2025-12-10T08:01:12Z</vt:lpwstr>
  </property>
  <property fmtid="{D5CDD505-2E9C-101B-9397-08002B2CF9AE}" pid="4" name="MSIP_Label_8950d150-f41b-478f-a548-cf16ba2c6b6f_Method">
    <vt:lpwstr>Standard</vt:lpwstr>
  </property>
  <property fmtid="{D5CDD505-2E9C-101B-9397-08002B2CF9AE}" pid="5" name="MSIP_Label_8950d150-f41b-478f-a548-cf16ba2c6b6f_Name">
    <vt:lpwstr>Internal</vt:lpwstr>
  </property>
  <property fmtid="{D5CDD505-2E9C-101B-9397-08002B2CF9AE}" pid="6" name="MSIP_Label_8950d150-f41b-478f-a548-cf16ba2c6b6f_SiteId">
    <vt:lpwstr>ed9114d4-e206-42bb-8637-1112932f3d50</vt:lpwstr>
  </property>
  <property fmtid="{D5CDD505-2E9C-101B-9397-08002B2CF9AE}" pid="7" name="MSIP_Label_8950d150-f41b-478f-a548-cf16ba2c6b6f_ActionId">
    <vt:lpwstr>948369b6-45e7-4cda-a91b-15faa1fc3b19</vt:lpwstr>
  </property>
  <property fmtid="{D5CDD505-2E9C-101B-9397-08002B2CF9AE}" pid="8" name="MSIP_Label_8950d150-f41b-478f-a548-cf16ba2c6b6f_ContentBits">
    <vt:lpwstr>0</vt:lpwstr>
  </property>
  <property fmtid="{D5CDD505-2E9C-101B-9397-08002B2CF9AE}" pid="9" name="MSIP_Label_8950d150-f41b-478f-a548-cf16ba2c6b6f_Tag">
    <vt:lpwstr>10, 3, 0, 1</vt:lpwstr>
  </property>
</Properties>
</file>